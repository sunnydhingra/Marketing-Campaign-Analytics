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3.xml" ContentType="application/vnd.openxmlformats-officedocument.spreadsheetml.table+xml"/>
  <Override PartName="/xl/pivotTables/pivotTable3.xml" ContentType="application/vnd.openxmlformats-officedocument.spreadsheetml.pivot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dhing\OneDrive\Desktop\"/>
    </mc:Choice>
  </mc:AlternateContent>
  <bookViews>
    <workbookView xWindow="0" yWindow="0" windowWidth="20490" windowHeight="7635"/>
  </bookViews>
  <sheets>
    <sheet name="q1_channel" sheetId="1" r:id="rId1"/>
    <sheet name="query2_campaign_roas" sheetId="2" r:id="rId2"/>
    <sheet name="query3_channel_cpa" sheetId="3" r:id="rId3"/>
    <sheet name="query4_audience_segments" sheetId="4" r:id="rId4"/>
    <sheet name="query5_budget_tracker" sheetId="5" r:id="rId5"/>
    <sheet name="query6_weekly_trends" sheetId="6" r:id="rId6"/>
    <sheet name="KPI_Summary" sheetId="8" r:id="rId7"/>
  </sheets>
  <definedNames>
    <definedName name="Slicer_channel">#N/A</definedName>
  </definedNames>
  <calcPr calcId="152511"/>
  <pivotCaches>
    <pivotCache cacheId="3" r:id="rId8"/>
    <pivotCache cacheId="4" r:id="rId9"/>
    <pivotCache cacheId="5" r:id="rId10"/>
  </pivotCaches>
  <fileRecoveryPr repairLoad="1"/>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8" i="8" l="1"/>
  <c r="D8" i="8" s="1"/>
  <c r="B7" i="8"/>
  <c r="D7" i="8" s="1"/>
  <c r="B5" i="8"/>
  <c r="B6" i="8" s="1"/>
  <c r="B4" i="8"/>
  <c r="B11" i="8"/>
  <c r="D11" i="8" s="1"/>
  <c r="B9" i="8"/>
  <c r="D6" i="8" l="1"/>
  <c r="B10" i="8"/>
  <c r="D10" i="8" s="1"/>
</calcChain>
</file>

<file path=xl/sharedStrings.xml><?xml version="1.0" encoding="utf-8"?>
<sst xmlns="http://schemas.openxmlformats.org/spreadsheetml/2006/main" count="197" uniqueCount="79">
  <si>
    <t>channel</t>
  </si>
  <si>
    <t>total_campaigns</t>
  </si>
  <si>
    <t>total_impressions</t>
  </si>
  <si>
    <t>total_clicks</t>
  </si>
  <si>
    <t>total_spend</t>
  </si>
  <si>
    <t>ctr_percent</t>
  </si>
  <si>
    <t>cpc</t>
  </si>
  <si>
    <t>Google</t>
  </si>
  <si>
    <t>Facebook</t>
  </si>
  <si>
    <t>Email</t>
  </si>
  <si>
    <t>campaign_name</t>
  </si>
  <si>
    <t>objective</t>
  </si>
  <si>
    <t>total_revenue</t>
  </si>
  <si>
    <t>roas</t>
  </si>
  <si>
    <t>total_conversions</t>
  </si>
  <si>
    <t>Email_ReEngagement</t>
  </si>
  <si>
    <t>Retargeting</t>
  </si>
  <si>
    <t>Email_Promo_Feb</t>
  </si>
  <si>
    <t>Conversion</t>
  </si>
  <si>
    <t>Email_Welcome_Series</t>
  </si>
  <si>
    <t>FB_Retargeting_Q1</t>
  </si>
  <si>
    <t>FB_Lookalike_Jan</t>
  </si>
  <si>
    <t>Google_Retargeting</t>
  </si>
  <si>
    <t>FB_Video_Awareness</t>
  </si>
  <si>
    <t>Awareness</t>
  </si>
  <si>
    <t>Google_Display_Awareness</t>
  </si>
  <si>
    <t>Google_Brand_Search</t>
  </si>
  <si>
    <t>cost_per_acquisition</t>
  </si>
  <si>
    <t>age_group</t>
  </si>
  <si>
    <t>gender</t>
  </si>
  <si>
    <t>customer_type</t>
  </si>
  <si>
    <t>avg_order_value</t>
  </si>
  <si>
    <t>revenue_per_conversion</t>
  </si>
  <si>
    <t>25-34</t>
  </si>
  <si>
    <t>Male</t>
  </si>
  <si>
    <t>New</t>
  </si>
  <si>
    <t>18-24</t>
  </si>
  <si>
    <t>Female</t>
  </si>
  <si>
    <t>35-44</t>
  </si>
  <si>
    <t>Returning</t>
  </si>
  <si>
    <t>45+</t>
  </si>
  <si>
    <t>total_budget</t>
  </si>
  <si>
    <t>actual_spend</t>
  </si>
  <si>
    <t>budget_remaining</t>
  </si>
  <si>
    <t>budget_utilized_pct</t>
  </si>
  <si>
    <t>budget_status</t>
  </si>
  <si>
    <t>ðŸŸ¢ On Track</t>
  </si>
  <si>
    <t>campaign_id</t>
  </si>
  <si>
    <t>week_number</t>
  </si>
  <si>
    <t>weekly_spend</t>
  </si>
  <si>
    <t>weekly_clicks</t>
  </si>
  <si>
    <t>prev_week_spend</t>
  </si>
  <si>
    <t>wow_spend_change_pct</t>
  </si>
  <si>
    <t>NULL</t>
  </si>
  <si>
    <t>Marketing Campaign Performance — Q1 2024</t>
  </si>
  <si>
    <t>Metric</t>
  </si>
  <si>
    <t>Value</t>
  </si>
  <si>
    <t>Benchmark</t>
  </si>
  <si>
    <t>Status</t>
  </si>
  <si>
    <t>Total Spend</t>
  </si>
  <si>
    <t>Total Revenue</t>
  </si>
  <si>
    <t>Overall ROAS</t>
  </si>
  <si>
    <t>Overall CTR %</t>
  </si>
  <si>
    <t>Average CPC</t>
  </si>
  <si>
    <t>Total Conversions</t>
  </si>
  <si>
    <t>Average CPA</t>
  </si>
  <si>
    <t>Budget Utilization %</t>
  </si>
  <si>
    <t>3.0x</t>
  </si>
  <si>
    <t>—</t>
  </si>
  <si>
    <t>Row Labels</t>
  </si>
  <si>
    <t>Grand Total</t>
  </si>
  <si>
    <t>Sum of total_spend</t>
  </si>
  <si>
    <t>Sum of total_clicks</t>
  </si>
  <si>
    <t>Sum of total_impressions</t>
  </si>
  <si>
    <t>Average of ctr_percent</t>
  </si>
  <si>
    <t>Average of cpc</t>
  </si>
  <si>
    <t>Sum of total_revenue</t>
  </si>
  <si>
    <t>Average of roas</t>
  </si>
  <si>
    <t>Average of avg_order_value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</si>
</sst>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6" formatCode="&quot;₹&quot;\ #,##0;[Red]&quot;₹&quot;\ \-#,##0"/>
  </numFmts>
  <fonts count="6" x14ac:knownFonts="1">
    <font>
      <sz val="11"/>
      <color theme="1"/>
      <name val="Calibri"/>
      <family val="2"/>
      <scheme val="minor"/>
    </font>
    <font>
      <b/>
      <sz val="14"/>
      <color theme="1"/>
      <name val="Calibri"/>
      <family val="2"/>
      <scheme val="minor"/>
    </font>
    <font>
      <b/>
      <sz val="13"/>
      <color theme="1"/>
      <name val="Calibri"/>
      <family val="2"/>
      <scheme val="minor"/>
    </font>
    <font>
      <b/>
      <sz val="20"/>
      <color theme="0"/>
      <name val="Calibri"/>
      <family val="2"/>
      <scheme val="minor"/>
    </font>
    <font>
      <b/>
      <sz val="22"/>
      <color theme="0"/>
      <name val="Calibri"/>
      <family val="2"/>
      <scheme val="minor"/>
    </font>
    <font>
      <b/>
      <i/>
      <u/>
      <sz val="20"/>
      <color theme="1"/>
      <name val="Calibri"/>
      <family val="2"/>
      <scheme val="minor"/>
    </font>
  </fonts>
  <fills count="4">
    <fill>
      <patternFill patternType="none"/>
    </fill>
    <fill>
      <patternFill patternType="gray125"/>
    </fill>
    <fill>
      <patternFill patternType="solid">
        <fgColor theme="8" tint="-0.499984740745262"/>
        <bgColor indexed="64"/>
      </patternFill>
    </fill>
    <fill>
      <patternFill patternType="solid">
        <fgColor theme="0" tint="-0.249977111117893"/>
        <bgColor indexed="64"/>
      </patternFill>
    </fill>
  </fills>
  <borders count="1">
    <border>
      <left/>
      <right/>
      <top/>
      <bottom/>
      <diagonal/>
    </border>
  </borders>
  <cellStyleXfs count="1">
    <xf numFmtId="0" fontId="0" fillId="0" borderId="0"/>
  </cellStyleXfs>
  <cellXfs count="18">
    <xf numFmtId="0" fontId="0" fillId="0" borderId="0" xfId="0"/>
    <xf numFmtId="0" fontId="1" fillId="0" borderId="0" xfId="0" applyFont="1"/>
    <xf numFmtId="0" fontId="1" fillId="0" borderId="0" xfId="0" applyFont="1" applyBorder="1" applyAlignment="1">
      <alignment horizontal="center" vertical="center"/>
    </xf>
    <xf numFmtId="9" fontId="1" fillId="0" borderId="0" xfId="0" applyNumberFormat="1" applyFont="1" applyBorder="1" applyAlignment="1">
      <alignment horizontal="center" vertical="center"/>
    </xf>
    <xf numFmtId="6" fontId="1" fillId="0" borderId="0" xfId="0" applyNumberFormat="1" applyFont="1" applyBorder="1" applyAlignment="1">
      <alignment horizontal="center" vertical="center"/>
    </xf>
    <xf numFmtId="0" fontId="0" fillId="0" borderId="0" xfId="0" applyAlignment="1">
      <alignment horizontal="center"/>
    </xf>
    <xf numFmtId="0" fontId="0" fillId="0" borderId="0" xfId="0" applyAlignment="1">
      <alignment horizontal="center" vertical="center"/>
    </xf>
    <xf numFmtId="0" fontId="0" fillId="0" borderId="0" xfId="0" applyNumberFormat="1" applyAlignment="1">
      <alignment horizontal="center"/>
    </xf>
    <xf numFmtId="0" fontId="0" fillId="0" borderId="0" xfId="0" pivotButton="1" applyAlignment="1">
      <alignment horizontal="center" vertical="center"/>
    </xf>
    <xf numFmtId="0" fontId="0" fillId="0" borderId="0" xfId="0" applyNumberFormat="1" applyAlignment="1">
      <alignment horizontal="center" vertical="center"/>
    </xf>
    <xf numFmtId="0" fontId="1" fillId="3" borderId="0" xfId="0" applyFont="1" applyFill="1" applyBorder="1" applyAlignment="1">
      <alignment horizontal="center" vertical="center"/>
    </xf>
    <xf numFmtId="6" fontId="1" fillId="0" borderId="0" xfId="0" applyNumberFormat="1" applyFont="1" applyAlignment="1">
      <alignment horizontal="center" vertical="center"/>
    </xf>
    <xf numFmtId="2" fontId="1" fillId="0" borderId="0" xfId="0" applyNumberFormat="1" applyFont="1" applyBorder="1" applyAlignment="1">
      <alignment horizontal="center" vertical="center"/>
    </xf>
    <xf numFmtId="0" fontId="2" fillId="3" borderId="0" xfId="0" applyFont="1" applyFill="1" applyBorder="1" applyAlignment="1">
      <alignment horizontal="center" vertical="center"/>
    </xf>
    <xf numFmtId="0" fontId="1" fillId="0" borderId="0" xfId="0" applyFont="1" applyAlignment="1">
      <alignment horizontal="center" vertical="center"/>
    </xf>
    <xf numFmtId="0" fontId="3" fillId="2" borderId="0" xfId="0" applyFont="1" applyFill="1" applyBorder="1" applyAlignment="1">
      <alignment horizontal="center" vertical="center"/>
    </xf>
    <xf numFmtId="0" fontId="4" fillId="2" borderId="0" xfId="0" applyFont="1" applyFill="1" applyBorder="1" applyAlignment="1">
      <alignment horizontal="center" vertical="center"/>
    </xf>
    <xf numFmtId="0" fontId="5" fillId="0" borderId="0" xfId="0" applyFont="1"/>
  </cellXfs>
  <cellStyles count="1">
    <cellStyle name="Normal" xfId="0" builtinId="0"/>
  </cellStyles>
  <dxfs count="93">
    <dxf>
      <font>
        <b/>
        <i val="0"/>
        <strike val="0"/>
        <condense val="0"/>
        <extend val="0"/>
        <outline val="0"/>
        <shadow val="0"/>
        <u val="none"/>
        <vertAlign val="baseline"/>
        <sz val="14"/>
        <color theme="1"/>
        <name val="Calibri"/>
        <scheme val="minor"/>
      </font>
      <fill>
        <patternFill patternType="solid">
          <fgColor indexed="64"/>
          <bgColor theme="0" tint="-0.249977111117893"/>
        </patternFill>
      </fill>
      <alignment horizontal="center" vertical="center" textRotation="0" wrapText="0" indent="0" justifyLastLine="0" shrinkToFit="0" readingOrder="0"/>
    </dxf>
    <dxf>
      <font>
        <b/>
        <i val="0"/>
        <strike val="0"/>
        <condense val="0"/>
        <extend val="0"/>
        <outline val="0"/>
        <shadow val="0"/>
        <u val="none"/>
        <vertAlign val="baseline"/>
        <sz val="14"/>
        <color theme="1"/>
        <name val="Calibri"/>
        <scheme val="minor"/>
      </font>
      <alignment horizontal="center" vertical="center" textRotation="0" wrapText="0" indent="0" justifyLastLine="0" shrinkToFit="0" readingOrder="0"/>
    </dxf>
    <dxf>
      <font>
        <b/>
        <i val="0"/>
        <strike val="0"/>
        <condense val="0"/>
        <extend val="0"/>
        <outline val="0"/>
        <shadow val="0"/>
        <u val="none"/>
        <vertAlign val="baseline"/>
        <sz val="14"/>
        <color theme="1"/>
        <name val="Calibri"/>
        <scheme val="minor"/>
      </font>
      <alignment horizontal="center" vertical="center" textRotation="0" wrapText="0" indent="0" justifyLastLine="0" shrinkToFit="0" readingOrder="0"/>
    </dxf>
    <dxf>
      <font>
        <b/>
        <i val="0"/>
        <strike val="0"/>
        <condense val="0"/>
        <extend val="0"/>
        <outline val="0"/>
        <shadow val="0"/>
        <u val="none"/>
        <vertAlign val="baseline"/>
        <sz val="22"/>
        <color theme="0"/>
        <name val="Calibri"/>
        <scheme val="minor"/>
      </font>
      <fill>
        <patternFill patternType="solid">
          <fgColor indexed="64"/>
          <bgColor theme="8" tint="-0.499984740745262"/>
        </patternFill>
      </fill>
      <alignment horizontal="center" vertical="center" textRotation="0" wrapText="0" indent="0" justifyLastLine="0" shrinkToFit="0" readingOrder="0"/>
    </dxf>
    <dxf>
      <font>
        <b/>
        <i val="0"/>
        <strike val="0"/>
        <condense val="0"/>
        <extend val="0"/>
        <outline val="0"/>
        <shadow val="0"/>
        <u val="none"/>
        <vertAlign val="baseline"/>
        <sz val="14"/>
        <color theme="1"/>
        <name val="Calibri"/>
        <scheme val="minor"/>
      </font>
      <alignment horizontal="center" vertical="center" textRotation="0" wrapText="0" indent="0" justifyLastLine="0" shrinkToFit="0" readingOrder="0"/>
    </dxf>
    <dxf>
      <font>
        <b/>
        <i val="0"/>
        <strike val="0"/>
        <condense val="0"/>
        <extend val="0"/>
        <outline val="0"/>
        <shadow val="0"/>
        <u val="none"/>
        <vertAlign val="baseline"/>
        <sz val="14"/>
        <color theme="1"/>
        <name val="Calibri"/>
        <scheme val="minor"/>
      </font>
      <numFmt numFmtId="2" formatCode="0.00"/>
      <alignment horizontal="center" vertical="center" textRotation="0" wrapText="0" indent="0" justifyLastLine="0" shrinkToFit="0" readingOrder="0"/>
    </dxf>
    <dxf>
      <font>
        <b/>
        <i val="0"/>
        <strike val="0"/>
        <condense val="0"/>
        <extend val="0"/>
        <outline val="0"/>
        <shadow val="0"/>
        <u val="none"/>
        <vertAlign val="baseline"/>
        <sz val="14"/>
        <color theme="1"/>
        <name val="Calibri"/>
        <scheme val="minor"/>
      </font>
      <fill>
        <patternFill patternType="solid">
          <fgColor indexed="64"/>
          <bgColor theme="0" tint="-0.249977111117893"/>
        </patternFill>
      </fil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center" indent="0" readingOrder="0"/>
    </dxf>
    <dxf>
      <alignment horizontal="center" indent="0" readingOrder="0"/>
    </dxf>
    <dxf>
      <alignment horizontal="center" indent="0" readingOrder="0"/>
    </dxf>
    <dxf>
      <alignment horizontal="center" indent="0" readingOrder="0"/>
    </dxf>
    <dxf>
      <alignment horizontal="center" indent="0" readingOrder="0"/>
    </dxf>
    <dxf>
      <alignment horizontal="center" indent="0" readingOrder="0"/>
    </dxf>
    <dxf>
      <alignment horizontal="center" inden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vertical="center"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center" indent="0" readingOrder="0"/>
    </dxf>
    <dxf>
      <alignment horizontal="center" indent="0" readingOrder="0"/>
    </dxf>
    <dxf>
      <alignment horizontal="center" indent="0" readingOrder="0"/>
    </dxf>
    <dxf>
      <alignment horizontal="center" indent="0" readingOrder="0"/>
    </dxf>
    <dxf>
      <alignment horizontal="center" indent="0" readingOrder="0"/>
    </dxf>
    <dxf>
      <alignment horizontal="center" indent="0" readingOrder="0"/>
    </dxf>
    <dxf>
      <alignment horizontal="center" inden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[marketing_analysis.xlsx]q1_channel!PivotTable3</c:name>
    <c:fmtId val="4"/>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dLblPos val="inEnd"/>
          <c:showLegendKey val="0"/>
          <c:showVal val="1"/>
          <c:showCatName val="0"/>
          <c:showSerName val="0"/>
          <c:showPercent val="0"/>
          <c:showBubbleSize val="0"/>
          <c:extLst>
            <c:ext xmlns:c15="http://schemas.microsoft.com/office/drawing/2012/chart" uri="{CE6537A1-D6FC-4f65-9D91-7224C49458BB}">
              <c15:layout/>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2002537182852144"/>
          <c:y val="0.16101633129192183"/>
          <c:w val="0.52903849518810153"/>
          <c:h val="0.65853091280256637"/>
        </c:manualLayout>
      </c:layout>
      <c:barChart>
        <c:barDir val="col"/>
        <c:grouping val="clustered"/>
        <c:varyColors val="0"/>
        <c:ser>
          <c:idx val="0"/>
          <c:order val="0"/>
          <c:tx>
            <c:strRef>
              <c:f>q1_channel!$B$7</c:f>
              <c:strCache>
                <c:ptCount val="1"/>
                <c:pt idx="0">
                  <c:v>Sum of total_spend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q1_channel!$A$8:$A$11</c:f>
              <c:strCache>
                <c:ptCount val="3"/>
                <c:pt idx="0">
                  <c:v>Email</c:v>
                </c:pt>
                <c:pt idx="1">
                  <c:v>Facebook</c:v>
                </c:pt>
                <c:pt idx="2">
                  <c:v>Google</c:v>
                </c:pt>
              </c:strCache>
            </c:strRef>
          </c:cat>
          <c:val>
            <c:numRef>
              <c:f>q1_channel!$B$8:$B$11</c:f>
              <c:numCache>
                <c:formatCode>General</c:formatCode>
                <c:ptCount val="3"/>
                <c:pt idx="0">
                  <c:v>534</c:v>
                </c:pt>
                <c:pt idx="1">
                  <c:v>4550</c:v>
                </c:pt>
                <c:pt idx="2">
                  <c:v>8530</c:v>
                </c:pt>
              </c:numCache>
            </c:numRef>
          </c:val>
        </c:ser>
        <c:ser>
          <c:idx val="1"/>
          <c:order val="1"/>
          <c:tx>
            <c:strRef>
              <c:f>q1_channel!$C$7</c:f>
              <c:strCache>
                <c:ptCount val="1"/>
                <c:pt idx="0">
                  <c:v>Sum of total_clicks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q1_channel!$A$8:$A$11</c:f>
              <c:strCache>
                <c:ptCount val="3"/>
                <c:pt idx="0">
                  <c:v>Email</c:v>
                </c:pt>
                <c:pt idx="1">
                  <c:v>Facebook</c:v>
                </c:pt>
                <c:pt idx="2">
                  <c:v>Google</c:v>
                </c:pt>
              </c:strCache>
            </c:strRef>
          </c:cat>
          <c:val>
            <c:numRef>
              <c:f>q1_channel!$C$8:$C$11</c:f>
              <c:numCache>
                <c:formatCode>General</c:formatCode>
                <c:ptCount val="3"/>
                <c:pt idx="0">
                  <c:v>812</c:v>
                </c:pt>
                <c:pt idx="1">
                  <c:v>1490</c:v>
                </c:pt>
                <c:pt idx="2">
                  <c:v>2245</c:v>
                </c:pt>
              </c:numCache>
            </c:numRef>
          </c:val>
        </c:ser>
        <c:ser>
          <c:idx val="2"/>
          <c:order val="2"/>
          <c:tx>
            <c:strRef>
              <c:f>q1_channel!$D$7</c:f>
              <c:strCache>
                <c:ptCount val="1"/>
                <c:pt idx="0">
                  <c:v>Average of ctr_percent</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q1_channel!$A$8:$A$11</c:f>
              <c:strCache>
                <c:ptCount val="3"/>
                <c:pt idx="0">
                  <c:v>Email</c:v>
                </c:pt>
                <c:pt idx="1">
                  <c:v>Facebook</c:v>
                </c:pt>
                <c:pt idx="2">
                  <c:v>Google</c:v>
                </c:pt>
              </c:strCache>
            </c:strRef>
          </c:cat>
          <c:val>
            <c:numRef>
              <c:f>q1_channel!$D$8:$D$11</c:f>
              <c:numCache>
                <c:formatCode>General</c:formatCode>
                <c:ptCount val="3"/>
                <c:pt idx="0">
                  <c:v>4</c:v>
                </c:pt>
                <c:pt idx="1">
                  <c:v>0.88</c:v>
                </c:pt>
                <c:pt idx="2">
                  <c:v>1.63</c:v>
                </c:pt>
              </c:numCache>
            </c:numRef>
          </c:val>
        </c:ser>
        <c:ser>
          <c:idx val="3"/>
          <c:order val="3"/>
          <c:tx>
            <c:strRef>
              <c:f>q1_channel!$E$7</c:f>
              <c:strCache>
                <c:ptCount val="1"/>
                <c:pt idx="0">
                  <c:v>Average of cpc</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q1_channel!$A$8:$A$11</c:f>
              <c:strCache>
                <c:ptCount val="3"/>
                <c:pt idx="0">
                  <c:v>Email</c:v>
                </c:pt>
                <c:pt idx="1">
                  <c:v>Facebook</c:v>
                </c:pt>
                <c:pt idx="2">
                  <c:v>Google</c:v>
                </c:pt>
              </c:strCache>
            </c:strRef>
          </c:cat>
          <c:val>
            <c:numRef>
              <c:f>q1_channel!$E$8:$E$11</c:f>
              <c:numCache>
                <c:formatCode>General</c:formatCode>
                <c:ptCount val="3"/>
                <c:pt idx="0">
                  <c:v>0.66</c:v>
                </c:pt>
                <c:pt idx="1">
                  <c:v>3.05</c:v>
                </c:pt>
                <c:pt idx="2">
                  <c:v>3.8</c:v>
                </c:pt>
              </c:numCache>
            </c:numRef>
          </c:val>
        </c:ser>
        <c:ser>
          <c:idx val="4"/>
          <c:order val="4"/>
          <c:tx>
            <c:strRef>
              <c:f>q1_channel!$F$7</c:f>
              <c:strCache>
                <c:ptCount val="1"/>
                <c:pt idx="0">
                  <c:v>Sum of total_impressions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q1_channel!$A$8:$A$11</c:f>
              <c:strCache>
                <c:ptCount val="3"/>
                <c:pt idx="0">
                  <c:v>Email</c:v>
                </c:pt>
                <c:pt idx="1">
                  <c:v>Facebook</c:v>
                </c:pt>
                <c:pt idx="2">
                  <c:v>Google</c:v>
                </c:pt>
              </c:strCache>
            </c:strRef>
          </c:cat>
          <c:val>
            <c:numRef>
              <c:f>q1_channel!$F$8:$F$11</c:f>
              <c:numCache>
                <c:formatCode>General</c:formatCode>
                <c:ptCount val="3"/>
                <c:pt idx="0">
                  <c:v>20300</c:v>
                </c:pt>
                <c:pt idx="1">
                  <c:v>169000</c:v>
                </c:pt>
                <c:pt idx="2">
                  <c:v>137500</c:v>
                </c:pt>
              </c:numCache>
            </c:numRef>
          </c:val>
        </c:ser>
        <c:dLbls>
          <c:dLblPos val="inEnd"/>
          <c:showLegendKey val="0"/>
          <c:showVal val="1"/>
          <c:showCatName val="0"/>
          <c:showSerName val="0"/>
          <c:showPercent val="0"/>
          <c:showBubbleSize val="0"/>
        </c:dLbls>
        <c:gapWidth val="100"/>
        <c:overlap val="-24"/>
        <c:axId val="277895552"/>
        <c:axId val="277899080"/>
      </c:barChart>
      <c:catAx>
        <c:axId val="27789555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ln>
                  <a:solidFill>
                    <a:schemeClr val="bg1"/>
                  </a:solidFill>
                </a:ln>
                <a:solidFill>
                  <a:schemeClr val="bg1"/>
                </a:solidFill>
                <a:latin typeface="+mn-lt"/>
                <a:ea typeface="+mn-ea"/>
                <a:cs typeface="+mn-cs"/>
              </a:defRPr>
            </a:pPr>
            <a:endParaRPr lang="en-US"/>
          </a:p>
        </c:txPr>
        <c:crossAx val="277899080"/>
        <c:crosses val="autoZero"/>
        <c:auto val="1"/>
        <c:lblAlgn val="ctr"/>
        <c:lblOffset val="100"/>
        <c:noMultiLvlLbl val="0"/>
      </c:catAx>
      <c:valAx>
        <c:axId val="27789908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bg1"/>
                  </a:solidFill>
                </a:ln>
                <a:solidFill>
                  <a:schemeClr val="bg1"/>
                </a:solidFill>
                <a:latin typeface="+mn-lt"/>
                <a:ea typeface="+mn-ea"/>
                <a:cs typeface="+mn-cs"/>
              </a:defRPr>
            </a:pPr>
            <a:endParaRPr lang="en-US"/>
          </a:p>
        </c:txPr>
        <c:crossAx val="27789555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ln>
                <a:solidFill>
                  <a:schemeClr val="bg1"/>
                </a:solidFill>
              </a:ln>
              <a:solidFill>
                <a:schemeClr val="bg1"/>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ln>
            <a:solidFill>
              <a:schemeClr val="bg1"/>
            </a:solidFill>
          </a:ln>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[marketing_analysis.xlsx]query2_campaign_roas!PivotTable7</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402537182852144"/>
          <c:y val="0.14163323924132126"/>
          <c:w val="0.57948315835520559"/>
          <c:h val="0.51987124250978056"/>
        </c:manualLayout>
      </c:layout>
      <c:barChart>
        <c:barDir val="col"/>
        <c:grouping val="clustered"/>
        <c:varyColors val="0"/>
        <c:ser>
          <c:idx val="0"/>
          <c:order val="0"/>
          <c:tx>
            <c:strRef>
              <c:f>query2_campaign_roas!$B$12</c:f>
              <c:strCache>
                <c:ptCount val="1"/>
                <c:pt idx="0">
                  <c:v>Average of roas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query2_campaign_roas!$A$13:$A$24</c:f>
              <c:multiLvlStrCache>
                <c:ptCount val="8"/>
                <c:lvl>
                  <c:pt idx="0">
                    <c:v>Facebook</c:v>
                  </c:pt>
                  <c:pt idx="1">
                    <c:v>Google</c:v>
                  </c:pt>
                  <c:pt idx="2">
                    <c:v>Email</c:v>
                  </c:pt>
                  <c:pt idx="3">
                    <c:v>Facebook</c:v>
                  </c:pt>
                  <c:pt idx="4">
                    <c:v>Google</c:v>
                  </c:pt>
                  <c:pt idx="5">
                    <c:v>Email</c:v>
                  </c:pt>
                  <c:pt idx="6">
                    <c:v>Facebook</c:v>
                  </c:pt>
                  <c:pt idx="7">
                    <c:v>Google</c:v>
                  </c:pt>
                </c:lvl>
                <c:lvl>
                  <c:pt idx="0">
                    <c:v>Awareness</c:v>
                  </c:pt>
                  <c:pt idx="2">
                    <c:v>Conversion</c:v>
                  </c:pt>
                  <c:pt idx="5">
                    <c:v>Retargeting</c:v>
                  </c:pt>
                </c:lvl>
              </c:multiLvlStrCache>
            </c:multiLvlStrRef>
          </c:cat>
          <c:val>
            <c:numRef>
              <c:f>query2_campaign_roas!$B$13:$B$24</c:f>
              <c:numCache>
                <c:formatCode>General</c:formatCode>
                <c:ptCount val="8"/>
                <c:pt idx="0">
                  <c:v>3.07</c:v>
                </c:pt>
                <c:pt idx="1">
                  <c:v>3.01</c:v>
                </c:pt>
                <c:pt idx="2">
                  <c:v>19.984999999999999</c:v>
                </c:pt>
                <c:pt idx="3">
                  <c:v>4.0599999999999996</c:v>
                </c:pt>
                <c:pt idx="4">
                  <c:v>2.34</c:v>
                </c:pt>
                <c:pt idx="5">
                  <c:v>29.62</c:v>
                </c:pt>
                <c:pt idx="6">
                  <c:v>6.27</c:v>
                </c:pt>
                <c:pt idx="7">
                  <c:v>3.25</c:v>
                </c:pt>
              </c:numCache>
            </c:numRef>
          </c:val>
        </c:ser>
        <c:ser>
          <c:idx val="1"/>
          <c:order val="1"/>
          <c:tx>
            <c:strRef>
              <c:f>query2_campaign_roas!$C$12</c:f>
              <c:strCache>
                <c:ptCount val="1"/>
                <c:pt idx="0">
                  <c:v>Sum of total_revenue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query2_campaign_roas!$A$13:$A$24</c:f>
              <c:multiLvlStrCache>
                <c:ptCount val="8"/>
                <c:lvl>
                  <c:pt idx="0">
                    <c:v>Facebook</c:v>
                  </c:pt>
                  <c:pt idx="1">
                    <c:v>Google</c:v>
                  </c:pt>
                  <c:pt idx="2">
                    <c:v>Email</c:v>
                  </c:pt>
                  <c:pt idx="3">
                    <c:v>Facebook</c:v>
                  </c:pt>
                  <c:pt idx="4">
                    <c:v>Google</c:v>
                  </c:pt>
                  <c:pt idx="5">
                    <c:v>Email</c:v>
                  </c:pt>
                  <c:pt idx="6">
                    <c:v>Facebook</c:v>
                  </c:pt>
                  <c:pt idx="7">
                    <c:v>Google</c:v>
                  </c:pt>
                </c:lvl>
                <c:lvl>
                  <c:pt idx="0">
                    <c:v>Awareness</c:v>
                  </c:pt>
                  <c:pt idx="2">
                    <c:v>Conversion</c:v>
                  </c:pt>
                  <c:pt idx="5">
                    <c:v>Retargeting</c:v>
                  </c:pt>
                </c:lvl>
              </c:multiLvlStrCache>
            </c:multiLvlStrRef>
          </c:cat>
          <c:val>
            <c:numRef>
              <c:f>query2_campaign_roas!$C$13:$C$24</c:f>
              <c:numCache>
                <c:formatCode>General</c:formatCode>
                <c:ptCount val="8"/>
                <c:pt idx="0">
                  <c:v>6600</c:v>
                </c:pt>
                <c:pt idx="1">
                  <c:v>5600</c:v>
                </c:pt>
                <c:pt idx="2">
                  <c:v>13800</c:v>
                </c:pt>
                <c:pt idx="3">
                  <c:v>13400</c:v>
                </c:pt>
                <c:pt idx="4">
                  <c:v>38400</c:v>
                </c:pt>
                <c:pt idx="5">
                  <c:v>7700</c:v>
                </c:pt>
                <c:pt idx="6">
                  <c:v>4700</c:v>
                </c:pt>
                <c:pt idx="7">
                  <c:v>3900</c:v>
                </c:pt>
              </c:numCache>
            </c:numRef>
          </c:val>
        </c:ser>
        <c:dLbls>
          <c:showLegendKey val="0"/>
          <c:showVal val="0"/>
          <c:showCatName val="0"/>
          <c:showSerName val="0"/>
          <c:showPercent val="0"/>
          <c:showBubbleSize val="0"/>
        </c:dLbls>
        <c:gapWidth val="100"/>
        <c:overlap val="-24"/>
        <c:axId val="277899472"/>
        <c:axId val="277897120"/>
      </c:barChart>
      <c:catAx>
        <c:axId val="27789947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ln>
                  <a:solidFill>
                    <a:schemeClr val="bg1"/>
                  </a:solidFill>
                </a:ln>
                <a:solidFill>
                  <a:schemeClr val="bg1"/>
                </a:solidFill>
                <a:latin typeface="+mn-lt"/>
                <a:ea typeface="+mn-ea"/>
                <a:cs typeface="+mn-cs"/>
              </a:defRPr>
            </a:pPr>
            <a:endParaRPr lang="en-US"/>
          </a:p>
        </c:txPr>
        <c:crossAx val="277897120"/>
        <c:crosses val="autoZero"/>
        <c:auto val="1"/>
        <c:lblAlgn val="ctr"/>
        <c:lblOffset val="100"/>
        <c:noMultiLvlLbl val="0"/>
      </c:catAx>
      <c:valAx>
        <c:axId val="27789712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bg1"/>
                  </a:solidFill>
                </a:ln>
                <a:solidFill>
                  <a:schemeClr val="bg1"/>
                </a:solidFill>
                <a:latin typeface="+mn-lt"/>
                <a:ea typeface="+mn-ea"/>
                <a:cs typeface="+mn-cs"/>
              </a:defRPr>
            </a:pPr>
            <a:endParaRPr lang="en-US"/>
          </a:p>
        </c:txPr>
        <c:crossAx val="27789947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ln>
                <a:solidFill>
                  <a:schemeClr val="bg1"/>
                </a:solidFill>
              </a:ln>
              <a:solidFill>
                <a:schemeClr val="bg1"/>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ln>
            <a:solidFill>
              <a:schemeClr val="bg1"/>
            </a:solidFill>
          </a:ln>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2</xdr:col>
      <xdr:colOff>371475</xdr:colOff>
      <xdr:row>11</xdr:row>
      <xdr:rowOff>133350</xdr:rowOff>
    </xdr:from>
    <xdr:to>
      <xdr:col>3</xdr:col>
      <xdr:colOff>1019175</xdr:colOff>
      <xdr:row>21</xdr:row>
      <xdr:rowOff>76200</xdr:rowOff>
    </xdr:to>
    <mc:AlternateContent xmlns:mc="http://schemas.openxmlformats.org/markup-compatibility/2006">
      <mc:Choice xmlns:a14="http://schemas.microsoft.com/office/drawing/2010/main" Requires="a14">
        <xdr:graphicFrame macro="">
          <xdr:nvGraphicFramePr>
            <xdr:cNvPr id="2" name="channel"/>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dr:sp macro="" textlink="">
          <xdr:nvSpPr>
            <xdr:cNvPr id="0" name=""/>
            <xdr:cNvSpPr>
              <a:spLocks noTextEdit="1"/>
            </xdr:cNvSpPr>
          </xdr:nvSpPr>
          <xdr:spPr>
            <a:xfrm>
              <a:off x="2628900" y="2343150"/>
              <a:ext cx="1828800" cy="1847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180975</xdr:colOff>
      <xdr:row>6</xdr:row>
      <xdr:rowOff>14287</xdr:rowOff>
    </xdr:from>
    <xdr:to>
      <xdr:col>13</xdr:col>
      <xdr:colOff>485775</xdr:colOff>
      <xdr:row>20</xdr:row>
      <xdr:rowOff>90487</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28575</xdr:colOff>
      <xdr:row>10</xdr:row>
      <xdr:rowOff>104775</xdr:rowOff>
    </xdr:from>
    <xdr:to>
      <xdr:col>7</xdr:col>
      <xdr:colOff>457200</xdr:colOff>
      <xdr:row>26</xdr:row>
      <xdr:rowOff>28575</xdr:rowOff>
    </xdr:to>
    <xdr:graphicFrame macro="">
      <xdr:nvGraphicFramePr>
        <xdr:cNvPr id="2" name="ROAS by Objective &amp; Channel"/>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r:id="rId1" refreshedBy="Sunny Dhingra" refreshedDate="46102.693073726849" createdVersion="5" refreshedVersion="5" minRefreshableVersion="3" recordCount="3">
  <cacheSource type="worksheet">
    <worksheetSource name="tbl_channel"/>
  </cacheSource>
  <cacheFields count="7">
    <cacheField name="channel" numFmtId="0">
      <sharedItems count="3">
        <s v="Google"/>
        <s v="Facebook"/>
        <s v="Email"/>
      </sharedItems>
    </cacheField>
    <cacheField name="total_campaigns" numFmtId="0">
      <sharedItems containsSemiMixedTypes="0" containsString="0" containsNumber="1" containsInteger="1" minValue="3" maxValue="3" count="1">
        <n v="3"/>
      </sharedItems>
    </cacheField>
    <cacheField name="total_impressions" numFmtId="0">
      <sharedItems containsSemiMixedTypes="0" containsString="0" containsNumber="1" containsInteger="1" minValue="20300" maxValue="169000"/>
    </cacheField>
    <cacheField name="total_clicks" numFmtId="0">
      <sharedItems containsSemiMixedTypes="0" containsString="0" containsNumber="1" containsInteger="1" minValue="812" maxValue="2245"/>
    </cacheField>
    <cacheField name="total_spend" numFmtId="0">
      <sharedItems containsSemiMixedTypes="0" containsString="0" containsNumber="1" containsInteger="1" minValue="534" maxValue="8530" count="3">
        <n v="8530"/>
        <n v="4550"/>
        <n v="534"/>
      </sharedItems>
    </cacheField>
    <cacheField name="ctr_percent" numFmtId="0">
      <sharedItems containsSemiMixedTypes="0" containsString="0" containsNumber="1" minValue="0.88" maxValue="4"/>
    </cacheField>
    <cacheField name="cpc" numFmtId="0">
      <sharedItems containsSemiMixedTypes="0" containsString="0" containsNumber="1" minValue="0.66" maxValue="3.8"/>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Sunny Dhingra" refreshedDate="46102.706822800923" createdVersion="5" refreshedVersion="5" minRefreshableVersion="3" recordCount="9">
  <cacheSource type="worksheet">
    <worksheetSource name="tbl_roas"/>
  </cacheSource>
  <cacheFields count="7">
    <cacheField name="campaign_name" numFmtId="0">
      <sharedItems/>
    </cacheField>
    <cacheField name="channel" numFmtId="0">
      <sharedItems count="3">
        <s v="Email"/>
        <s v="Facebook"/>
        <s v="Google"/>
      </sharedItems>
    </cacheField>
    <cacheField name="objective" numFmtId="0">
      <sharedItems count="3">
        <s v="Retargeting"/>
        <s v="Conversion"/>
        <s v="Awareness"/>
      </sharedItems>
    </cacheField>
    <cacheField name="total_spend" numFmtId="0">
      <sharedItems containsSemiMixedTypes="0" containsString="0" containsNumber="1" containsInteger="1" minValue="220" maxValue="16410"/>
    </cacheField>
    <cacheField name="total_revenue" numFmtId="0">
      <sharedItems containsSemiMixedTypes="0" containsString="0" containsNumber="1" containsInteger="1" minValue="3900" maxValue="38400"/>
    </cacheField>
    <cacheField name="roas" numFmtId="0">
      <sharedItems containsSemiMixedTypes="0" containsString="0" containsNumber="1" minValue="2.34" maxValue="29.62"/>
    </cacheField>
    <cacheField name="total_conversions" numFmtId="0">
      <sharedItems containsSemiMixedTypes="0" containsString="0" containsNumber="1" containsInteger="1" minValue="1" maxValue="9"/>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r:id="rId1" refreshedBy="Sunny Dhingra" refreshedDate="46102.721306944448" createdVersion="5" refreshedVersion="5" minRefreshableVersion="3" recordCount="8">
  <cacheSource type="worksheet">
    <worksheetSource name="tbl_audience"/>
  </cacheSource>
  <cacheFields count="7">
    <cacheField name="age_group" numFmtId="0">
      <sharedItems count="4">
        <s v="25-34"/>
        <s v="18-24"/>
        <s v="35-44"/>
        <s v="45+"/>
      </sharedItems>
    </cacheField>
    <cacheField name="gender" numFmtId="0">
      <sharedItems/>
    </cacheField>
    <cacheField name="customer_type" numFmtId="0">
      <sharedItems count="2">
        <s v="New"/>
        <s v="Returning"/>
      </sharedItems>
    </cacheField>
    <cacheField name="total_conversions" numFmtId="0">
      <sharedItems containsSemiMixedTypes="0" containsString="0" containsNumber="1" containsInteger="1" minValue="1" maxValue="3"/>
    </cacheField>
    <cacheField name="total_revenue" numFmtId="0">
      <sharedItems containsSemiMixedTypes="0" containsString="0" containsNumber="1" containsInteger="1" minValue="2600" maxValue="9600"/>
    </cacheField>
    <cacheField name="avg_order_value" numFmtId="0">
      <sharedItems containsSemiMixedTypes="0" containsString="0" containsNumber="1" minValue="2600" maxValue="5100"/>
    </cacheField>
    <cacheField name="revenue_per_conversion" numFmtId="0">
      <sharedItems containsSemiMixedTypes="0" containsString="0" containsNumber="1" minValue="2600" maxValue="51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3">
  <r>
    <x v="0"/>
    <x v="0"/>
    <n v="137500"/>
    <n v="2245"/>
    <x v="0"/>
    <n v="1.63"/>
    <n v="3.8"/>
  </r>
  <r>
    <x v="1"/>
    <x v="0"/>
    <n v="169000"/>
    <n v="1490"/>
    <x v="1"/>
    <n v="0.88"/>
    <n v="3.05"/>
  </r>
  <r>
    <x v="2"/>
    <x v="0"/>
    <n v="20300"/>
    <n v="812"/>
    <x v="2"/>
    <n v="4"/>
    <n v="0.66"/>
  </r>
</pivotCacheRecords>
</file>

<file path=xl/pivotCache/pivotCacheRecords2.xml><?xml version="1.0" encoding="utf-8"?>
<pivotCacheRecords xmlns="http://schemas.openxmlformats.org/spreadsheetml/2006/main" xmlns:r="http://schemas.openxmlformats.org/officeDocument/2006/relationships" count="9">
  <r>
    <s v="Email_ReEngagement"/>
    <x v="0"/>
    <x v="0"/>
    <n v="260"/>
    <n v="7700"/>
    <n v="29.62"/>
    <n v="2"/>
  </r>
  <r>
    <s v="Email_Promo_Feb"/>
    <x v="0"/>
    <x v="1"/>
    <n v="220"/>
    <n v="5800"/>
    <n v="26.36"/>
    <n v="2"/>
  </r>
  <r>
    <s v="Email_Welcome_Series"/>
    <x v="0"/>
    <x v="1"/>
    <n v="588"/>
    <n v="8000"/>
    <n v="13.61"/>
    <n v="4"/>
  </r>
  <r>
    <s v="FB_Retargeting_Q1"/>
    <x v="1"/>
    <x v="0"/>
    <n v="750"/>
    <n v="4700"/>
    <n v="6.27"/>
    <n v="1"/>
  </r>
  <r>
    <s v="FB_Lookalike_Jan"/>
    <x v="1"/>
    <x v="1"/>
    <n v="3300"/>
    <n v="13400"/>
    <n v="4.0599999999999996"/>
    <n v="4"/>
  </r>
  <r>
    <s v="Google_Retargeting"/>
    <x v="2"/>
    <x v="0"/>
    <n v="1200"/>
    <n v="3900"/>
    <n v="3.25"/>
    <n v="1"/>
  </r>
  <r>
    <s v="FB_Video_Awareness"/>
    <x v="1"/>
    <x v="2"/>
    <n v="2150"/>
    <n v="6600"/>
    <n v="3.07"/>
    <n v="2"/>
  </r>
  <r>
    <s v="Google_Display_Awareness"/>
    <x v="2"/>
    <x v="2"/>
    <n v="1860"/>
    <n v="5600"/>
    <n v="3.01"/>
    <n v="2"/>
  </r>
  <r>
    <s v="Google_Brand_Search"/>
    <x v="2"/>
    <x v="1"/>
    <n v="16410"/>
    <n v="38400"/>
    <n v="2.34"/>
    <n v="9"/>
  </r>
</pivotCacheRecords>
</file>

<file path=xl/pivotCache/pivotCacheRecords3.xml><?xml version="1.0" encoding="utf-8"?>
<pivotCacheRecords xmlns="http://schemas.openxmlformats.org/spreadsheetml/2006/main" xmlns:r="http://schemas.openxmlformats.org/officeDocument/2006/relationships" count="8">
  <r>
    <x v="0"/>
    <s v="Male"/>
    <x v="0"/>
    <n v="3"/>
    <n v="9600"/>
    <n v="3200"/>
    <n v="3200"/>
  </r>
  <r>
    <x v="1"/>
    <s v="Female"/>
    <x v="0"/>
    <n v="3"/>
    <n v="8500"/>
    <n v="2833.33"/>
    <n v="2833.33"/>
  </r>
  <r>
    <x v="2"/>
    <s v="Female"/>
    <x v="1"/>
    <n v="2"/>
    <n v="8100"/>
    <n v="4050"/>
    <n v="4050"/>
  </r>
  <r>
    <x v="3"/>
    <s v="Female"/>
    <x v="1"/>
    <n v="2"/>
    <n v="7600"/>
    <n v="3800"/>
    <n v="3800"/>
  </r>
  <r>
    <x v="2"/>
    <s v="Male"/>
    <x v="1"/>
    <n v="2"/>
    <n v="5500"/>
    <n v="2750"/>
    <n v="2750"/>
  </r>
  <r>
    <x v="0"/>
    <s v="Female"/>
    <x v="0"/>
    <n v="1"/>
    <n v="5100"/>
    <n v="5100"/>
    <n v="5100"/>
  </r>
  <r>
    <x v="3"/>
    <s v="Male"/>
    <x v="1"/>
    <n v="1"/>
    <n v="4700"/>
    <n v="4700"/>
    <n v="4700"/>
  </r>
  <r>
    <x v="1"/>
    <s v="Male"/>
    <x v="0"/>
    <n v="1"/>
    <n v="2600"/>
    <n v="2600"/>
    <n v="26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PivotTable3"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location ref="A7:F11" firstHeaderRow="0" firstDataRow="1" firstDataCol="1"/>
  <pivotFields count="7">
    <pivotField axis="axisRow" showAll="0">
      <items count="4">
        <item x="2"/>
        <item x="1"/>
        <item x="0"/>
        <item t="default"/>
      </items>
    </pivotField>
    <pivotField showAll="0"/>
    <pivotField dataField="1" showAll="0"/>
    <pivotField dataField="1" showAll="0"/>
    <pivotField dataField="1" showAll="0">
      <items count="4">
        <item x="2"/>
        <item x="1"/>
        <item x="0"/>
        <item t="default"/>
      </items>
    </pivotField>
    <pivotField dataField="1" showAll="0"/>
    <pivotField dataField="1" showAll="0"/>
  </pivotFields>
  <rowFields count="1">
    <field x="0"/>
  </rowFields>
  <rowItems count="4">
    <i>
      <x/>
    </i>
    <i>
      <x v="1"/>
    </i>
    <i>
      <x v="2"/>
    </i>
    <i t="grand">
      <x/>
    </i>
  </rowItems>
  <colFields count="1">
    <field x="-2"/>
  </colFields>
  <colItems count="5">
    <i>
      <x/>
    </i>
    <i i="1">
      <x v="1"/>
    </i>
    <i i="2">
      <x v="2"/>
    </i>
    <i i="3">
      <x v="3"/>
    </i>
    <i i="4">
      <x v="4"/>
    </i>
  </colItems>
  <dataFields count="5">
    <dataField name="Sum of total_spend" fld="4" baseField="0" baseItem="0"/>
    <dataField name="Sum of total_clicks" fld="3" baseField="0" baseItem="0"/>
    <dataField name="Average of ctr_percent" fld="5" subtotal="average" baseField="0" baseItem="0"/>
    <dataField name="Average of cpc" fld="6" subtotal="average" baseField="0" baseItem="0"/>
    <dataField name="Sum of total_impressions" fld="2" baseField="0" baseItem="0"/>
  </dataFields>
  <formats count="7">
    <format dxfId="43">
      <pivotArea field="0" type="button" dataOnly="0" labelOnly="1" outline="0" axis="axisRow" fieldPosition="0"/>
    </format>
    <format dxfId="42">
      <pivotArea type="all" dataOnly="0" outline="0" fieldPosition="0"/>
    </format>
    <format dxfId="41">
      <pivotArea outline="0" collapsedLevelsAreSubtotals="1" fieldPosition="0"/>
    </format>
    <format dxfId="40">
      <pivotArea field="0" type="button" dataOnly="0" labelOnly="1" outline="0" axis="axisRow" fieldPosition="0"/>
    </format>
    <format dxfId="39">
      <pivotArea dataOnly="0" labelOnly="1" fieldPosition="0">
        <references count="1">
          <reference field="0" count="0"/>
        </references>
      </pivotArea>
    </format>
    <format dxfId="38">
      <pivotArea dataOnly="0" labelOnly="1" grandRow="1" outline="0" fieldPosition="0"/>
    </format>
    <format dxfId="37">
      <pivotArea dataOnly="0" labelOnly="1" outline="0" fieldPosition="0">
        <references count="1">
          <reference field="4294967294" count="4">
            <x v="0"/>
            <x v="1"/>
            <x v="2"/>
            <x v="3"/>
          </reference>
        </references>
      </pivotArea>
    </format>
  </format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3" series="1">
      <pivotArea type="data" outline="0" fieldPosition="0">
        <references count="1">
          <reference field="4294967294" count="1" selected="0">
            <x v="2"/>
          </reference>
        </references>
      </pivotArea>
    </chartFormat>
    <chartFormat chart="0" format="4" series="1">
      <pivotArea type="data" outline="0" fieldPosition="0">
        <references count="1">
          <reference field="4294967294" count="1" selected="0">
            <x v="3"/>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3" series="1">
      <pivotArea type="data" outline="0" fieldPosition="0">
        <references count="1">
          <reference field="4294967294" count="1" selected="0">
            <x v="2"/>
          </reference>
        </references>
      </pivotArea>
    </chartFormat>
    <chartFormat chart="4" format="4" series="1">
      <pivotArea type="data" outline="0" fieldPosition="0">
        <references count="1">
          <reference field="4294967294" count="1" selected="0">
            <x v="3"/>
          </reference>
        </references>
      </pivotArea>
    </chartFormat>
    <chartFormat chart="4" format="5" series="1">
      <pivotArea type="data" outline="0" fieldPosition="0">
        <references count="1">
          <reference field="4294967294" count="1" selected="0">
            <x v="4"/>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7" cacheId="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
  <location ref="A12:C24" firstHeaderRow="0" firstDataRow="1" firstDataCol="1"/>
  <pivotFields count="7">
    <pivotField showAll="0"/>
    <pivotField axis="axisRow" showAll="0">
      <items count="4">
        <item x="0"/>
        <item x="1"/>
        <item x="2"/>
        <item t="default"/>
      </items>
    </pivotField>
    <pivotField axis="axisRow" showAll="0">
      <items count="4">
        <item x="2"/>
        <item x="1"/>
        <item x="0"/>
        <item t="default"/>
      </items>
    </pivotField>
    <pivotField showAll="0"/>
    <pivotField dataField="1" showAll="0"/>
    <pivotField dataField="1" showAll="0"/>
    <pivotField showAll="0"/>
  </pivotFields>
  <rowFields count="2">
    <field x="2"/>
    <field x="1"/>
  </rowFields>
  <rowItems count="12">
    <i>
      <x/>
    </i>
    <i r="1">
      <x v="1"/>
    </i>
    <i r="1">
      <x v="2"/>
    </i>
    <i>
      <x v="1"/>
    </i>
    <i r="1">
      <x/>
    </i>
    <i r="1">
      <x v="1"/>
    </i>
    <i r="1">
      <x v="2"/>
    </i>
    <i>
      <x v="2"/>
    </i>
    <i r="1">
      <x/>
    </i>
    <i r="1">
      <x v="1"/>
    </i>
    <i r="1">
      <x v="2"/>
    </i>
    <i t="grand">
      <x/>
    </i>
  </rowItems>
  <colFields count="1">
    <field x="-2"/>
  </colFields>
  <colItems count="2">
    <i>
      <x/>
    </i>
    <i i="1">
      <x v="1"/>
    </i>
  </colItems>
  <dataFields count="2">
    <dataField name="Average of roas" fld="5" subtotal="average" baseField="2" baseItem="0"/>
    <dataField name="Sum of total_revenue" fld="4" baseField="2" baseItem="0"/>
  </dataFields>
  <formats count="14">
    <format dxfId="27">
      <pivotArea type="all" dataOnly="0" outline="0" fieldPosition="0"/>
    </format>
    <format dxfId="26">
      <pivotArea outline="0" collapsedLevelsAreSubtotals="1" fieldPosition="0"/>
    </format>
    <format dxfId="25">
      <pivotArea field="2" type="button" dataOnly="0" labelOnly="1" outline="0" axis="axisRow" fieldPosition="0"/>
    </format>
    <format dxfId="24">
      <pivotArea dataOnly="0" labelOnly="1" fieldPosition="0">
        <references count="1">
          <reference field="2" count="0"/>
        </references>
      </pivotArea>
    </format>
    <format dxfId="23">
      <pivotArea dataOnly="0" labelOnly="1" grandRow="1" outline="0" fieldPosition="0"/>
    </format>
    <format dxfId="22">
      <pivotArea dataOnly="0" labelOnly="1" fieldPosition="0">
        <references count="2">
          <reference field="1" count="0"/>
          <reference field="2" count="1" selected="0">
            <x v="0"/>
          </reference>
        </references>
      </pivotArea>
    </format>
    <format dxfId="21">
      <pivotArea dataOnly="0" labelOnly="1" outline="0" fieldPosition="0">
        <references count="1">
          <reference field="4294967294" count="2">
            <x v="0"/>
            <x v="1"/>
          </reference>
        </references>
      </pivotArea>
    </format>
    <format dxfId="20">
      <pivotArea type="all" dataOnly="0" outline="0" fieldPosition="0"/>
    </format>
    <format dxfId="19">
      <pivotArea outline="0" collapsedLevelsAreSubtotals="1" fieldPosition="0"/>
    </format>
    <format dxfId="18">
      <pivotArea field="2" type="button" dataOnly="0" labelOnly="1" outline="0" axis="axisRow" fieldPosition="0"/>
    </format>
    <format dxfId="17">
      <pivotArea dataOnly="0" labelOnly="1" fieldPosition="0">
        <references count="1">
          <reference field="2" count="0"/>
        </references>
      </pivotArea>
    </format>
    <format dxfId="16">
      <pivotArea dataOnly="0" labelOnly="1" grandRow="1" outline="0" fieldPosition="0"/>
    </format>
    <format dxfId="15">
      <pivotArea dataOnly="0" labelOnly="1" fieldPosition="0">
        <references count="2">
          <reference field="1" count="0"/>
          <reference field="2" count="1" selected="0">
            <x v="0"/>
          </reference>
        </references>
      </pivotArea>
    </format>
    <format dxfId="14">
      <pivotArea dataOnly="0" labelOnly="1" outline="0" fieldPosition="0">
        <references count="1">
          <reference field="4294967294" count="2">
            <x v="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Medium1"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8" cacheId="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26:C35" firstHeaderRow="0" firstDataRow="1" firstDataCol="1"/>
  <pivotFields count="7">
    <pivotField axis="axisRow" showAll="0">
      <items count="5">
        <item x="1"/>
        <item x="0"/>
        <item x="2"/>
        <item x="3"/>
        <item t="default"/>
      </items>
    </pivotField>
    <pivotField showAll="0"/>
    <pivotField axis="axisRow" showAll="0">
      <items count="3">
        <item x="0"/>
        <item x="1"/>
        <item t="default"/>
      </items>
    </pivotField>
    <pivotField showAll="0"/>
    <pivotField dataField="1" showAll="0"/>
    <pivotField dataField="1" showAll="0"/>
    <pivotField showAll="0"/>
  </pivotFields>
  <rowFields count="2">
    <field x="0"/>
    <field x="2"/>
  </rowFields>
  <rowItems count="9">
    <i>
      <x/>
    </i>
    <i r="1">
      <x/>
    </i>
    <i>
      <x v="1"/>
    </i>
    <i r="1">
      <x/>
    </i>
    <i>
      <x v="2"/>
    </i>
    <i r="1">
      <x v="1"/>
    </i>
    <i>
      <x v="3"/>
    </i>
    <i r="1">
      <x v="1"/>
    </i>
    <i t="grand">
      <x/>
    </i>
  </rowItems>
  <colFields count="1">
    <field x="-2"/>
  </colFields>
  <colItems count="2">
    <i>
      <x/>
    </i>
    <i i="1">
      <x v="1"/>
    </i>
  </colItems>
  <dataFields count="2">
    <dataField name="Sum of total_revenue" fld="4" baseField="0" baseItem="0"/>
    <dataField name="Average of avg_order_value" fld="5" subtotal="average" baseField="0" baseItem="0"/>
  </dataFields>
  <formats count="14">
    <format dxfId="66">
      <pivotArea type="all" dataOnly="0" outline="0" fieldPosition="0"/>
    </format>
    <format dxfId="65">
      <pivotArea outline="0" collapsedLevelsAreSubtotals="1" fieldPosition="0"/>
    </format>
    <format dxfId="64">
      <pivotArea field="0" type="button" dataOnly="0" labelOnly="1" outline="0" axis="axisRow" fieldPosition="0"/>
    </format>
    <format dxfId="63">
      <pivotArea dataOnly="0" labelOnly="1" fieldPosition="0">
        <references count="1">
          <reference field="0" count="0"/>
        </references>
      </pivotArea>
    </format>
    <format dxfId="62">
      <pivotArea dataOnly="0" labelOnly="1" grandRow="1" outline="0" fieldPosition="0"/>
    </format>
    <format dxfId="61">
      <pivotArea dataOnly="0" labelOnly="1" fieldPosition="0">
        <references count="2">
          <reference field="0" count="1" selected="0">
            <x v="0"/>
          </reference>
          <reference field="2" count="0"/>
        </references>
      </pivotArea>
    </format>
    <format dxfId="60">
      <pivotArea dataOnly="0" labelOnly="1" outline="0" fieldPosition="0">
        <references count="1">
          <reference field="4294967294" count="2">
            <x v="0"/>
            <x v="1"/>
          </reference>
        </references>
      </pivotArea>
    </format>
    <format dxfId="59">
      <pivotArea type="all" dataOnly="0" outline="0" fieldPosition="0"/>
    </format>
    <format dxfId="58">
      <pivotArea outline="0" collapsedLevelsAreSubtotals="1" fieldPosition="0"/>
    </format>
    <format dxfId="57">
      <pivotArea field="0" type="button" dataOnly="0" labelOnly="1" outline="0" axis="axisRow" fieldPosition="0"/>
    </format>
    <format dxfId="56">
      <pivotArea dataOnly="0" labelOnly="1" fieldPosition="0">
        <references count="1">
          <reference field="0" count="0"/>
        </references>
      </pivotArea>
    </format>
    <format dxfId="55">
      <pivotArea dataOnly="0" labelOnly="1" grandRow="1" outline="0" fieldPosition="0"/>
    </format>
    <format dxfId="54">
      <pivotArea dataOnly="0" labelOnly="1" fieldPosition="0">
        <references count="2">
          <reference field="0" count="1" selected="0">
            <x v="0"/>
          </reference>
          <reference field="2" count="0"/>
        </references>
      </pivotArea>
    </format>
    <format dxfId="53">
      <pivotArea dataOnly="0" labelOnly="1" outline="0" fieldPosition="0">
        <references count="1">
          <reference field="4294967294" count="2">
            <x v="0"/>
            <x v="1"/>
          </reference>
        </references>
      </pivotArea>
    </format>
  </formats>
  <conditionalFormats count="1">
    <conditionalFormat priority="1">
      <pivotAreas count="10">
        <pivotArea type="data" collapsedLevelsAreSubtotals="1" fieldPosition="0">
          <references count="3">
            <reference field="4294967294" count="1" selected="0">
              <x v="0"/>
            </reference>
            <reference field="0" count="1" selected="0">
              <x v="3"/>
            </reference>
            <reference field="2" count="1">
              <x v="1"/>
            </reference>
          </references>
        </pivotArea>
        <pivotArea type="data" collapsedLevelsAreSubtotals="1" fieldPosition="0">
          <references count="3">
            <reference field="4294967294" count="1" selected="0">
              <x v="0"/>
            </reference>
            <reference field="0" count="1" selected="0">
              <x v="3"/>
            </reference>
            <reference field="2" count="1">
              <x v="1"/>
            </reference>
          </references>
        </pivotArea>
        <pivotArea type="data" collapsedLevelsAreSubtotals="1" fieldPosition="0">
          <references count="2">
            <reference field="4294967294" count="1" selected="0">
              <x v="0"/>
            </reference>
            <reference field="0" count="1">
              <x v="3"/>
            </reference>
          </references>
        </pivotArea>
        <pivotArea type="data" collapsedLevelsAreSubtotals="1" fieldPosition="0">
          <references count="3">
            <reference field="4294967294" count="1" selected="0">
              <x v="0"/>
            </reference>
            <reference field="0" count="1" selected="0">
              <x v="2"/>
            </reference>
            <reference field="2" count="1">
              <x v="1"/>
            </reference>
          </references>
        </pivotArea>
        <pivotArea type="data" collapsedLevelsAreSubtotals="1" fieldPosition="0">
          <references count="2">
            <reference field="4294967294" count="1" selected="0">
              <x v="0"/>
            </reference>
            <reference field="0" count="1">
              <x v="2"/>
            </reference>
          </references>
        </pivotArea>
        <pivotArea type="data" collapsedLevelsAreSubtotals="1" fieldPosition="0">
          <references count="3">
            <reference field="4294967294" count="1" selected="0">
              <x v="0"/>
            </reference>
            <reference field="0" count="1" selected="0">
              <x v="1"/>
            </reference>
            <reference field="2" count="1">
              <x v="0"/>
            </reference>
          </references>
        </pivotArea>
        <pivotArea type="data" collapsedLevelsAreSubtotals="1" fieldPosition="0">
          <references count="2">
            <reference field="4294967294" count="1" selected="0">
              <x v="0"/>
            </reference>
            <reference field="0" count="1">
              <x v="1"/>
            </reference>
          </references>
        </pivotArea>
        <pivotArea type="data" collapsedLevelsAreSubtotals="1" fieldPosition="0">
          <references count="3">
            <reference field="4294967294" count="1" selected="0">
              <x v="0"/>
            </reference>
            <reference field="0" count="1" selected="0">
              <x v="0"/>
            </reference>
            <reference field="2" count="1">
              <x v="0"/>
            </reference>
          </references>
        </pivotArea>
        <pivotArea type="data" collapsedLevelsAreSubtotals="1" fieldPosition="0">
          <references count="2">
            <reference field="4294967294" count="1" selected="0">
              <x v="0"/>
            </reference>
            <reference field="0" count="1">
              <x v="0"/>
            </reference>
          </references>
        </pivotArea>
        <pivotArea type="data" collapsedLevelsAreSubtotals="1" fieldPosition="0">
          <references count="2">
            <reference field="4294967294" count="1" selected="0">
              <x v="0"/>
            </reference>
            <reference field="0" count="1">
              <x v="0"/>
            </reference>
          </references>
        </pivotArea>
      </pivotAreas>
    </conditionalFormat>
  </conditionalFormats>
  <pivotTableStyleInfo name="PivotStyleMedium4"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hannel" sourceName="channel">
  <pivotTables>
    <pivotTable tabId="1" name="PivotTable3"/>
  </pivotTables>
  <data>
    <tabular pivotCacheId="1">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hannel" cache="Slicer_channel" caption="channel" style="SlicerStyleDark5" rowHeight="241300"/>
</slicers>
</file>

<file path=xl/tables/table1.xml><?xml version="1.0" encoding="utf-8"?>
<table xmlns="http://schemas.openxmlformats.org/spreadsheetml/2006/main" id="1" name="tbl_channel" displayName="tbl_channel" ref="A1:G4" totalsRowShown="0" headerRowDxfId="45" dataDxfId="44">
  <autoFilter ref="A1:G4"/>
  <tableColumns count="7">
    <tableColumn id="1" name="channel" dataDxfId="52"/>
    <tableColumn id="2" name="total_campaigns" dataDxfId="51"/>
    <tableColumn id="3" name="total_impressions" dataDxfId="50"/>
    <tableColumn id="4" name="total_clicks" dataDxfId="49"/>
    <tableColumn id="5" name="total_spend" dataDxfId="48"/>
    <tableColumn id="6" name="ctr_percent" dataDxfId="47"/>
    <tableColumn id="7" name="cpc" dataDxfId="46"/>
  </tableColumns>
  <tableStyleInfo name="TableStyleMedium4" showFirstColumn="1" showLastColumn="1" showRowStripes="1" showColumnStripes="0"/>
</table>
</file>

<file path=xl/tables/table2.xml><?xml version="1.0" encoding="utf-8"?>
<table xmlns="http://schemas.openxmlformats.org/spreadsheetml/2006/main" id="2" name="tbl_roas" displayName="tbl_roas" ref="A1:G10" totalsRowShown="0" headerRowDxfId="29" dataDxfId="28">
  <autoFilter ref="A1:G10"/>
  <tableColumns count="7">
    <tableColumn id="1" name="campaign_name" dataDxfId="36"/>
    <tableColumn id="2" name="channel" dataDxfId="35"/>
    <tableColumn id="3" name="objective" dataDxfId="34"/>
    <tableColumn id="4" name="total_spend" dataDxfId="33"/>
    <tableColumn id="5" name="total_revenue" dataDxfId="32"/>
    <tableColumn id="6" name="roas" dataDxfId="31"/>
    <tableColumn id="7" name="total_conversions" dataDxfId="30"/>
  </tableColumns>
  <tableStyleInfo name="TableStyleMedium4" showFirstColumn="1" showLastColumn="1" showRowStripes="1" showColumnStripes="0"/>
</table>
</file>

<file path=xl/tables/table3.xml><?xml version="1.0" encoding="utf-8"?>
<table xmlns="http://schemas.openxmlformats.org/spreadsheetml/2006/main" id="3" name="tbl_cpa" displayName="tbl_cpa" ref="A1:E4" totalsRowShown="0" headerRowDxfId="8" dataDxfId="7">
  <autoFilter ref="A1:E4"/>
  <tableColumns count="5">
    <tableColumn id="1" name="channel" dataDxfId="13"/>
    <tableColumn id="2" name="total_spend" dataDxfId="12"/>
    <tableColumn id="3" name="total_conversions" dataDxfId="11"/>
    <tableColumn id="4" name="cost_per_acquisition" dataDxfId="10"/>
    <tableColumn id="5" name="roas" dataDxfId="9"/>
  </tableColumns>
  <tableStyleInfo name="TableStyleMedium4" showFirstColumn="1" showLastColumn="1" showRowStripes="1" showColumnStripes="0"/>
</table>
</file>

<file path=xl/tables/table4.xml><?xml version="1.0" encoding="utf-8"?>
<table xmlns="http://schemas.openxmlformats.org/spreadsheetml/2006/main" id="4" name="tbl_audience" displayName="tbl_audience" ref="A1:G9" totalsRowShown="0" headerRowDxfId="68" dataDxfId="67">
  <autoFilter ref="A1:G9"/>
  <tableColumns count="7">
    <tableColumn id="1" name="age_group" dataDxfId="75"/>
    <tableColumn id="2" name="gender" dataDxfId="74"/>
    <tableColumn id="3" name="customer_type" dataDxfId="73"/>
    <tableColumn id="4" name="total_conversions" dataDxfId="72"/>
    <tableColumn id="5" name="total_revenue" dataDxfId="71"/>
    <tableColumn id="6" name="avg_order_value" dataDxfId="70"/>
    <tableColumn id="7" name="revenue_per_conversion" dataDxfId="69"/>
  </tableColumns>
  <tableStyleInfo name="TableStyleMedium4" showFirstColumn="1" showLastColumn="1" showRowStripes="1" showColumnStripes="0"/>
</table>
</file>

<file path=xl/tables/table5.xml><?xml version="1.0" encoding="utf-8"?>
<table xmlns="http://schemas.openxmlformats.org/spreadsheetml/2006/main" id="5" name="tbl_budget" displayName="tbl_budget" ref="A1:G10" headerRowDxfId="78" dataDxfId="76" totalsRowDxfId="77">
  <autoFilter ref="A1:G10"/>
  <tableColumns count="7">
    <tableColumn id="1" name="campaign_name" totalsRowLabel="Total" dataDxfId="85"/>
    <tableColumn id="2" name="channel" dataDxfId="84"/>
    <tableColumn id="3" name="total_budget" dataDxfId="83"/>
    <tableColumn id="4" name="actual_spend" dataDxfId="82"/>
    <tableColumn id="5" name="budget_remaining" dataDxfId="81"/>
    <tableColumn id="6" name="budget_utilized_pct" dataDxfId="80"/>
    <tableColumn id="7" name="budget_status" totalsRowFunction="count" dataDxfId="79"/>
  </tableColumns>
  <tableStyleInfo name="TableStyleMedium4" showFirstColumn="1" showLastColumn="1" showRowStripes="1" showColumnStripes="0"/>
</table>
</file>

<file path=xl/tables/table6.xml><?xml version="1.0" encoding="utf-8"?>
<table xmlns="http://schemas.openxmlformats.org/spreadsheetml/2006/main" id="6" name="tbl_trends" displayName="tbl_trends" ref="A1:F10" totalsRowShown="0" dataDxfId="86">
  <autoFilter ref="A1:F10"/>
  <tableColumns count="6">
    <tableColumn id="1" name="campaign_id" dataDxfId="92"/>
    <tableColumn id="2" name="week_number" dataDxfId="91"/>
    <tableColumn id="3" name="weekly_spend" dataDxfId="90"/>
    <tableColumn id="4" name="weekly_clicks" dataDxfId="89"/>
    <tableColumn id="5" name="prev_week_spend" dataDxfId="88"/>
    <tableColumn id="6" name="wow_spend_change_pct" dataDxfId="87"/>
  </tableColumns>
  <tableStyleInfo name="TableStyleMedium4" showFirstColumn="1" showLastColumn="1" showRowStripes="1" showColumnStripes="1"/>
</table>
</file>

<file path=xl/tables/table7.xml><?xml version="1.0" encoding="utf-8"?>
<table xmlns="http://schemas.openxmlformats.org/spreadsheetml/2006/main" id="7" name="Table7" displayName="Table7" ref="A3:D11" headerRowDxfId="3">
  <autoFilter ref="A3:D11"/>
  <tableColumns count="4">
    <tableColumn id="1" name="Metric" totalsRowLabel="Total" dataDxfId="6" totalsRowDxfId="0"/>
    <tableColumn id="2" name="Value" dataDxfId="5" totalsRowDxfId="1"/>
    <tableColumn id="3" name="Benchmark"/>
    <tableColumn id="4" name="Status" totalsRowFunction="count" dataDxfId="4" totalsRowDxfId="2"/>
  </tableColumns>
  <tableStyleInfo name="TableStyleLight1"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
  <sheetViews>
    <sheetView tabSelected="1" workbookViewId="0">
      <selection activeCell="F16" sqref="F16"/>
    </sheetView>
  </sheetViews>
  <sheetFormatPr defaultRowHeight="15" x14ac:dyDescent="0.25"/>
  <cols>
    <col min="1" max="1" width="15.42578125" customWidth="1"/>
    <col min="2" max="2" width="18.42578125" customWidth="1"/>
    <col min="3" max="3" width="17.7109375" customWidth="1"/>
    <col min="4" max="4" width="21.5703125" customWidth="1"/>
    <col min="5" max="5" width="14" customWidth="1"/>
    <col min="6" max="6" width="23.85546875" customWidth="1"/>
  </cols>
  <sheetData>
    <row r="1" spans="1:7" ht="20.100000000000001" customHeight="1" x14ac:dyDescent="0.25">
      <c r="A1" s="6" t="s">
        <v>0</v>
      </c>
      <c r="B1" s="6" t="s">
        <v>1</v>
      </c>
      <c r="C1" s="6" t="s">
        <v>2</v>
      </c>
      <c r="D1" s="6" t="s">
        <v>3</v>
      </c>
      <c r="E1" s="6" t="s">
        <v>4</v>
      </c>
      <c r="F1" s="6" t="s">
        <v>5</v>
      </c>
      <c r="G1" s="6" t="s">
        <v>6</v>
      </c>
    </row>
    <row r="2" spans="1:7" x14ac:dyDescent="0.25">
      <c r="A2" s="6" t="s">
        <v>7</v>
      </c>
      <c r="B2" s="6">
        <v>3</v>
      </c>
      <c r="C2" s="6">
        <v>137500</v>
      </c>
      <c r="D2" s="6">
        <v>2245</v>
      </c>
      <c r="E2" s="6">
        <v>8530</v>
      </c>
      <c r="F2" s="6">
        <v>1.63</v>
      </c>
      <c r="G2" s="6">
        <v>3.8</v>
      </c>
    </row>
    <row r="3" spans="1:7" x14ac:dyDescent="0.25">
      <c r="A3" s="6" t="s">
        <v>8</v>
      </c>
      <c r="B3" s="6">
        <v>3</v>
      </c>
      <c r="C3" s="6">
        <v>169000</v>
      </c>
      <c r="D3" s="6">
        <v>1490</v>
      </c>
      <c r="E3" s="6">
        <v>4550</v>
      </c>
      <c r="F3" s="6">
        <v>0.88</v>
      </c>
      <c r="G3" s="6">
        <v>3.05</v>
      </c>
    </row>
    <row r="4" spans="1:7" x14ac:dyDescent="0.25">
      <c r="A4" s="6" t="s">
        <v>9</v>
      </c>
      <c r="B4" s="6">
        <v>3</v>
      </c>
      <c r="C4" s="6">
        <v>20300</v>
      </c>
      <c r="D4" s="6">
        <v>812</v>
      </c>
      <c r="E4" s="6">
        <v>534</v>
      </c>
      <c r="F4" s="6">
        <v>4</v>
      </c>
      <c r="G4" s="6">
        <v>0.66</v>
      </c>
    </row>
    <row r="7" spans="1:7" ht="20.100000000000001" customHeight="1" x14ac:dyDescent="0.25">
      <c r="A7" s="8" t="s">
        <v>69</v>
      </c>
      <c r="B7" s="5" t="s">
        <v>71</v>
      </c>
      <c r="C7" s="5" t="s">
        <v>72</v>
      </c>
      <c r="D7" s="5" t="s">
        <v>74</v>
      </c>
      <c r="E7" s="5" t="s">
        <v>75</v>
      </c>
      <c r="F7" s="5" t="s">
        <v>73</v>
      </c>
    </row>
    <row r="8" spans="1:7" x14ac:dyDescent="0.25">
      <c r="A8" s="5" t="s">
        <v>9</v>
      </c>
      <c r="B8" s="7">
        <v>534</v>
      </c>
      <c r="C8" s="7">
        <v>812</v>
      </c>
      <c r="D8" s="7">
        <v>4</v>
      </c>
      <c r="E8" s="7">
        <v>0.66</v>
      </c>
      <c r="F8" s="7">
        <v>20300</v>
      </c>
    </row>
    <row r="9" spans="1:7" x14ac:dyDescent="0.25">
      <c r="A9" s="5" t="s">
        <v>8</v>
      </c>
      <c r="B9" s="7">
        <v>4550</v>
      </c>
      <c r="C9" s="7">
        <v>1490</v>
      </c>
      <c r="D9" s="7">
        <v>0.88</v>
      </c>
      <c r="E9" s="7">
        <v>3.05</v>
      </c>
      <c r="F9" s="7">
        <v>169000</v>
      </c>
    </row>
    <row r="10" spans="1:7" x14ac:dyDescent="0.25">
      <c r="A10" s="5" t="s">
        <v>7</v>
      </c>
      <c r="B10" s="7">
        <v>8530</v>
      </c>
      <c r="C10" s="7">
        <v>2245</v>
      </c>
      <c r="D10" s="7">
        <v>1.63</v>
      </c>
      <c r="E10" s="7">
        <v>3.8</v>
      </c>
      <c r="F10" s="7">
        <v>137500</v>
      </c>
    </row>
    <row r="11" spans="1:7" x14ac:dyDescent="0.25">
      <c r="A11" s="5" t="s">
        <v>70</v>
      </c>
      <c r="B11" s="7">
        <v>13614</v>
      </c>
      <c r="C11" s="7">
        <v>4547</v>
      </c>
      <c r="D11" s="7">
        <v>2.17</v>
      </c>
      <c r="E11" s="7">
        <v>2.5033333333333334</v>
      </c>
      <c r="F11" s="7">
        <v>326800</v>
      </c>
    </row>
  </sheetData>
  <pageMargins left="0.7" right="0.7" top="0.75" bottom="0.75" header="0.3" footer="0.3"/>
  <pageSetup orientation="portrait" r:id="rId2"/>
  <drawing r:id="rId3"/>
  <tableParts count="1">
    <tablePart r:id="rId4"/>
  </tableParts>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4"/>
  <sheetViews>
    <sheetView topLeftCell="A3" workbookViewId="0">
      <selection activeCell="D15" sqref="D15"/>
    </sheetView>
  </sheetViews>
  <sheetFormatPr defaultRowHeight="15" x14ac:dyDescent="0.25"/>
  <cols>
    <col min="1" max="7" width="20.7109375" customWidth="1"/>
  </cols>
  <sheetData>
    <row r="1" spans="1:7" ht="20.100000000000001" customHeight="1" x14ac:dyDescent="0.25">
      <c r="A1" s="6" t="s">
        <v>10</v>
      </c>
      <c r="B1" s="6" t="s">
        <v>0</v>
      </c>
      <c r="C1" s="6" t="s">
        <v>11</v>
      </c>
      <c r="D1" s="6" t="s">
        <v>4</v>
      </c>
      <c r="E1" s="6" t="s">
        <v>12</v>
      </c>
      <c r="F1" s="6" t="s">
        <v>13</v>
      </c>
      <c r="G1" s="6" t="s">
        <v>14</v>
      </c>
    </row>
    <row r="2" spans="1:7" ht="20.100000000000001" customHeight="1" x14ac:dyDescent="0.25">
      <c r="A2" s="6" t="s">
        <v>15</v>
      </c>
      <c r="B2" s="6" t="s">
        <v>9</v>
      </c>
      <c r="C2" s="6" t="s">
        <v>16</v>
      </c>
      <c r="D2" s="6">
        <v>260</v>
      </c>
      <c r="E2" s="6">
        <v>7700</v>
      </c>
      <c r="F2" s="6">
        <v>29.62</v>
      </c>
      <c r="G2" s="6">
        <v>2</v>
      </c>
    </row>
    <row r="3" spans="1:7" ht="20.100000000000001" customHeight="1" x14ac:dyDescent="0.25">
      <c r="A3" s="6" t="s">
        <v>17</v>
      </c>
      <c r="B3" s="6" t="s">
        <v>9</v>
      </c>
      <c r="C3" s="6" t="s">
        <v>18</v>
      </c>
      <c r="D3" s="6">
        <v>220</v>
      </c>
      <c r="E3" s="6">
        <v>5800</v>
      </c>
      <c r="F3" s="6">
        <v>26.36</v>
      </c>
      <c r="G3" s="6">
        <v>2</v>
      </c>
    </row>
    <row r="4" spans="1:7" ht="20.100000000000001" customHeight="1" x14ac:dyDescent="0.25">
      <c r="A4" s="6" t="s">
        <v>19</v>
      </c>
      <c r="B4" s="6" t="s">
        <v>9</v>
      </c>
      <c r="C4" s="6" t="s">
        <v>18</v>
      </c>
      <c r="D4" s="6">
        <v>588</v>
      </c>
      <c r="E4" s="6">
        <v>8000</v>
      </c>
      <c r="F4" s="6">
        <v>13.61</v>
      </c>
      <c r="G4" s="6">
        <v>4</v>
      </c>
    </row>
    <row r="5" spans="1:7" ht="20.100000000000001" customHeight="1" x14ac:dyDescent="0.25">
      <c r="A5" s="6" t="s">
        <v>20</v>
      </c>
      <c r="B5" s="6" t="s">
        <v>8</v>
      </c>
      <c r="C5" s="6" t="s">
        <v>16</v>
      </c>
      <c r="D5" s="6">
        <v>750</v>
      </c>
      <c r="E5" s="6">
        <v>4700</v>
      </c>
      <c r="F5" s="6">
        <v>6.27</v>
      </c>
      <c r="G5" s="6">
        <v>1</v>
      </c>
    </row>
    <row r="6" spans="1:7" ht="20.100000000000001" customHeight="1" x14ac:dyDescent="0.25">
      <c r="A6" s="6" t="s">
        <v>21</v>
      </c>
      <c r="B6" s="6" t="s">
        <v>8</v>
      </c>
      <c r="C6" s="6" t="s">
        <v>18</v>
      </c>
      <c r="D6" s="6">
        <v>3300</v>
      </c>
      <c r="E6" s="6">
        <v>13400</v>
      </c>
      <c r="F6" s="6">
        <v>4.0599999999999996</v>
      </c>
      <c r="G6" s="6">
        <v>4</v>
      </c>
    </row>
    <row r="7" spans="1:7" ht="20.100000000000001" customHeight="1" x14ac:dyDescent="0.25">
      <c r="A7" s="6" t="s">
        <v>22</v>
      </c>
      <c r="B7" s="6" t="s">
        <v>7</v>
      </c>
      <c r="C7" s="6" t="s">
        <v>16</v>
      </c>
      <c r="D7" s="6">
        <v>1200</v>
      </c>
      <c r="E7" s="6">
        <v>3900</v>
      </c>
      <c r="F7" s="6">
        <v>3.25</v>
      </c>
      <c r="G7" s="6">
        <v>1</v>
      </c>
    </row>
    <row r="8" spans="1:7" ht="20.100000000000001" customHeight="1" x14ac:dyDescent="0.25">
      <c r="A8" s="6" t="s">
        <v>23</v>
      </c>
      <c r="B8" s="6" t="s">
        <v>8</v>
      </c>
      <c r="C8" s="6" t="s">
        <v>24</v>
      </c>
      <c r="D8" s="6">
        <v>2150</v>
      </c>
      <c r="E8" s="6">
        <v>6600</v>
      </c>
      <c r="F8" s="6">
        <v>3.07</v>
      </c>
      <c r="G8" s="6">
        <v>2</v>
      </c>
    </row>
    <row r="9" spans="1:7" ht="20.100000000000001" customHeight="1" x14ac:dyDescent="0.25">
      <c r="A9" s="6" t="s">
        <v>25</v>
      </c>
      <c r="B9" s="6" t="s">
        <v>7</v>
      </c>
      <c r="C9" s="6" t="s">
        <v>24</v>
      </c>
      <c r="D9" s="6">
        <v>1860</v>
      </c>
      <c r="E9" s="6">
        <v>5600</v>
      </c>
      <c r="F9" s="6">
        <v>3.01</v>
      </c>
      <c r="G9" s="6">
        <v>2</v>
      </c>
    </row>
    <row r="10" spans="1:7" ht="20.100000000000001" customHeight="1" x14ac:dyDescent="0.25">
      <c r="A10" s="6" t="s">
        <v>26</v>
      </c>
      <c r="B10" s="6" t="s">
        <v>7</v>
      </c>
      <c r="C10" s="6" t="s">
        <v>18</v>
      </c>
      <c r="D10" s="6">
        <v>16410</v>
      </c>
      <c r="E10" s="6">
        <v>38400</v>
      </c>
      <c r="F10" s="6">
        <v>2.34</v>
      </c>
      <c r="G10" s="6">
        <v>9</v>
      </c>
    </row>
    <row r="12" spans="1:7" ht="20.100000000000001" customHeight="1" x14ac:dyDescent="0.25">
      <c r="A12" s="8" t="s">
        <v>69</v>
      </c>
      <c r="B12" s="6" t="s">
        <v>77</v>
      </c>
      <c r="C12" s="6" t="s">
        <v>76</v>
      </c>
    </row>
    <row r="13" spans="1:7" x14ac:dyDescent="0.25">
      <c r="A13" s="6" t="s">
        <v>24</v>
      </c>
      <c r="B13" s="9">
        <v>3.04</v>
      </c>
      <c r="C13" s="9">
        <v>12200</v>
      </c>
    </row>
    <row r="14" spans="1:7" x14ac:dyDescent="0.25">
      <c r="A14" s="6" t="s">
        <v>8</v>
      </c>
      <c r="B14" s="9">
        <v>3.07</v>
      </c>
      <c r="C14" s="9">
        <v>6600</v>
      </c>
    </row>
    <row r="15" spans="1:7" x14ac:dyDescent="0.25">
      <c r="A15" s="6" t="s">
        <v>7</v>
      </c>
      <c r="B15" s="9">
        <v>3.01</v>
      </c>
      <c r="C15" s="9">
        <v>5600</v>
      </c>
    </row>
    <row r="16" spans="1:7" x14ac:dyDescent="0.25">
      <c r="A16" s="6" t="s">
        <v>18</v>
      </c>
      <c r="B16" s="9">
        <v>11.592500000000001</v>
      </c>
      <c r="C16" s="9">
        <v>65600</v>
      </c>
    </row>
    <row r="17" spans="1:3" x14ac:dyDescent="0.25">
      <c r="A17" s="6" t="s">
        <v>9</v>
      </c>
      <c r="B17" s="9">
        <v>19.984999999999999</v>
      </c>
      <c r="C17" s="9">
        <v>13800</v>
      </c>
    </row>
    <row r="18" spans="1:3" x14ac:dyDescent="0.25">
      <c r="A18" s="6" t="s">
        <v>8</v>
      </c>
      <c r="B18" s="9">
        <v>4.0599999999999996</v>
      </c>
      <c r="C18" s="9">
        <v>13400</v>
      </c>
    </row>
    <row r="19" spans="1:3" x14ac:dyDescent="0.25">
      <c r="A19" s="6" t="s">
        <v>7</v>
      </c>
      <c r="B19" s="9">
        <v>2.34</v>
      </c>
      <c r="C19" s="9">
        <v>38400</v>
      </c>
    </row>
    <row r="20" spans="1:3" x14ac:dyDescent="0.25">
      <c r="A20" s="6" t="s">
        <v>16</v>
      </c>
      <c r="B20" s="9">
        <v>13.046666666666667</v>
      </c>
      <c r="C20" s="9">
        <v>16300</v>
      </c>
    </row>
    <row r="21" spans="1:3" x14ac:dyDescent="0.25">
      <c r="A21" s="6" t="s">
        <v>9</v>
      </c>
      <c r="B21" s="9">
        <v>29.62</v>
      </c>
      <c r="C21" s="9">
        <v>7700</v>
      </c>
    </row>
    <row r="22" spans="1:3" x14ac:dyDescent="0.25">
      <c r="A22" s="6" t="s">
        <v>8</v>
      </c>
      <c r="B22" s="9">
        <v>6.27</v>
      </c>
      <c r="C22" s="9">
        <v>4700</v>
      </c>
    </row>
    <row r="23" spans="1:3" x14ac:dyDescent="0.25">
      <c r="A23" s="6" t="s">
        <v>7</v>
      </c>
      <c r="B23" s="9">
        <v>3.25</v>
      </c>
      <c r="C23" s="9">
        <v>3900</v>
      </c>
    </row>
    <row r="24" spans="1:3" x14ac:dyDescent="0.25">
      <c r="A24" s="6" t="s">
        <v>70</v>
      </c>
      <c r="B24" s="9">
        <v>10.176666666666668</v>
      </c>
      <c r="C24" s="9">
        <v>94100</v>
      </c>
    </row>
  </sheetData>
  <conditionalFormatting sqref="A17:C19 E17 A21:C23 A14:C15">
    <cfRule type="colorScale" priority="3">
      <colorScale>
        <cfvo type="min"/>
        <cfvo type="percentile" val="50"/>
        <cfvo type="max"/>
        <color rgb="FFF8696B"/>
        <color rgb="FFFCFCFF"/>
        <color rgb="FF63BE7B"/>
      </colorScale>
    </cfRule>
  </conditionalFormatting>
  <conditionalFormatting sqref="F15">
    <cfRule type="colorScale" priority="2">
      <colorScale>
        <cfvo type="min"/>
        <cfvo type="percentile" val="50"/>
        <cfvo type="max"/>
        <color rgb="FF63BE7B"/>
        <color rgb="FFFFEB84"/>
        <color rgb="FFF8696B"/>
      </colorScale>
    </cfRule>
  </conditionalFormatting>
  <conditionalFormatting sqref="B13:C23 I11">
    <cfRule type="colorScale" priority="1">
      <colorScale>
        <cfvo type="min"/>
        <cfvo type="percentile" val="50"/>
        <cfvo type="max"/>
        <color rgb="FFF8696B"/>
        <color rgb="FFFFEB84"/>
        <color rgb="FF63BE7B"/>
      </colorScale>
    </cfRule>
  </conditionalFormatting>
  <pageMargins left="0.7" right="0.7" top="0.75" bottom="0.75" header="0.3" footer="0.3"/>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
  <sheetViews>
    <sheetView workbookViewId="0">
      <selection activeCell="C12" sqref="C12"/>
    </sheetView>
  </sheetViews>
  <sheetFormatPr defaultRowHeight="15" x14ac:dyDescent="0.25"/>
  <cols>
    <col min="1" max="1" width="20.7109375" customWidth="1"/>
    <col min="2" max="2" width="13.7109375" customWidth="1"/>
    <col min="3" max="3" width="18.85546875" customWidth="1"/>
    <col min="4" max="4" width="21.42578125" customWidth="1"/>
  </cols>
  <sheetData>
    <row r="1" spans="1:5" ht="20.100000000000001" customHeight="1" x14ac:dyDescent="0.25">
      <c r="A1" s="6" t="s">
        <v>0</v>
      </c>
      <c r="B1" s="6" t="s">
        <v>4</v>
      </c>
      <c r="C1" s="6" t="s">
        <v>14</v>
      </c>
      <c r="D1" s="6" t="s">
        <v>27</v>
      </c>
      <c r="E1" s="6" t="s">
        <v>13</v>
      </c>
    </row>
    <row r="2" spans="1:5" x14ac:dyDescent="0.25">
      <c r="A2" s="6" t="s">
        <v>9</v>
      </c>
      <c r="B2" s="6">
        <v>1068</v>
      </c>
      <c r="C2" s="6">
        <v>8</v>
      </c>
      <c r="D2" s="6">
        <v>133.5</v>
      </c>
      <c r="E2" s="6">
        <v>20.13</v>
      </c>
    </row>
    <row r="3" spans="1:5" x14ac:dyDescent="0.25">
      <c r="A3" s="6" t="s">
        <v>8</v>
      </c>
      <c r="B3" s="6">
        <v>6200</v>
      </c>
      <c r="C3" s="6">
        <v>7</v>
      </c>
      <c r="D3" s="6">
        <v>885.71</v>
      </c>
      <c r="E3" s="6">
        <v>3.98</v>
      </c>
    </row>
    <row r="4" spans="1:5" x14ac:dyDescent="0.25">
      <c r="A4" s="6" t="s">
        <v>7</v>
      </c>
      <c r="B4" s="6">
        <v>19470</v>
      </c>
      <c r="C4" s="6">
        <v>12</v>
      </c>
      <c r="D4" s="6">
        <v>1622.5</v>
      </c>
      <c r="E4" s="6">
        <v>2.46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5"/>
  <sheetViews>
    <sheetView workbookViewId="0">
      <selection activeCell="A26" sqref="A26:C35"/>
    </sheetView>
  </sheetViews>
  <sheetFormatPr defaultRowHeight="15" x14ac:dyDescent="0.25"/>
  <cols>
    <col min="1" max="1" width="20.7109375" customWidth="1"/>
    <col min="2" max="2" width="20.42578125" customWidth="1"/>
    <col min="3" max="3" width="26.28515625" customWidth="1"/>
    <col min="4" max="4" width="18.85546875" customWidth="1"/>
    <col min="5" max="5" width="15.7109375" customWidth="1"/>
    <col min="6" max="6" width="17.85546875" customWidth="1"/>
    <col min="7" max="7" width="25.28515625" customWidth="1"/>
  </cols>
  <sheetData>
    <row r="1" spans="1:7" ht="20.100000000000001" customHeight="1" x14ac:dyDescent="0.25">
      <c r="A1" s="6" t="s">
        <v>28</v>
      </c>
      <c r="B1" s="6" t="s">
        <v>29</v>
      </c>
      <c r="C1" s="6" t="s">
        <v>30</v>
      </c>
      <c r="D1" s="6" t="s">
        <v>14</v>
      </c>
      <c r="E1" s="6" t="s">
        <v>12</v>
      </c>
      <c r="F1" s="6" t="s">
        <v>31</v>
      </c>
      <c r="G1" s="6" t="s">
        <v>32</v>
      </c>
    </row>
    <row r="2" spans="1:7" x14ac:dyDescent="0.25">
      <c r="A2" s="6" t="s">
        <v>33</v>
      </c>
      <c r="B2" s="6" t="s">
        <v>34</v>
      </c>
      <c r="C2" s="6" t="s">
        <v>35</v>
      </c>
      <c r="D2" s="6">
        <v>3</v>
      </c>
      <c r="E2" s="6">
        <v>9600</v>
      </c>
      <c r="F2" s="6">
        <v>3200</v>
      </c>
      <c r="G2" s="6">
        <v>3200</v>
      </c>
    </row>
    <row r="3" spans="1:7" x14ac:dyDescent="0.25">
      <c r="A3" s="6" t="s">
        <v>36</v>
      </c>
      <c r="B3" s="6" t="s">
        <v>37</v>
      </c>
      <c r="C3" s="6" t="s">
        <v>35</v>
      </c>
      <c r="D3" s="6">
        <v>3</v>
      </c>
      <c r="E3" s="6">
        <v>8500</v>
      </c>
      <c r="F3" s="6">
        <v>2833.33</v>
      </c>
      <c r="G3" s="6">
        <v>2833.33</v>
      </c>
    </row>
    <row r="4" spans="1:7" x14ac:dyDescent="0.25">
      <c r="A4" s="6" t="s">
        <v>38</v>
      </c>
      <c r="B4" s="6" t="s">
        <v>37</v>
      </c>
      <c r="C4" s="6" t="s">
        <v>39</v>
      </c>
      <c r="D4" s="6">
        <v>2</v>
      </c>
      <c r="E4" s="6">
        <v>8100</v>
      </c>
      <c r="F4" s="6">
        <v>4050</v>
      </c>
      <c r="G4" s="6">
        <v>4050</v>
      </c>
    </row>
    <row r="5" spans="1:7" x14ac:dyDescent="0.25">
      <c r="A5" s="6" t="s">
        <v>40</v>
      </c>
      <c r="B5" s="6" t="s">
        <v>37</v>
      </c>
      <c r="C5" s="6" t="s">
        <v>39</v>
      </c>
      <c r="D5" s="6">
        <v>2</v>
      </c>
      <c r="E5" s="6">
        <v>7600</v>
      </c>
      <c r="F5" s="6">
        <v>3800</v>
      </c>
      <c r="G5" s="6">
        <v>3800</v>
      </c>
    </row>
    <row r="6" spans="1:7" x14ac:dyDescent="0.25">
      <c r="A6" s="6" t="s">
        <v>38</v>
      </c>
      <c r="B6" s="6" t="s">
        <v>34</v>
      </c>
      <c r="C6" s="6" t="s">
        <v>39</v>
      </c>
      <c r="D6" s="6">
        <v>2</v>
      </c>
      <c r="E6" s="6">
        <v>5500</v>
      </c>
      <c r="F6" s="6">
        <v>2750</v>
      </c>
      <c r="G6" s="6">
        <v>2750</v>
      </c>
    </row>
    <row r="7" spans="1:7" x14ac:dyDescent="0.25">
      <c r="A7" s="6" t="s">
        <v>33</v>
      </c>
      <c r="B7" s="6" t="s">
        <v>37</v>
      </c>
      <c r="C7" s="6" t="s">
        <v>35</v>
      </c>
      <c r="D7" s="6">
        <v>1</v>
      </c>
      <c r="E7" s="6">
        <v>5100</v>
      </c>
      <c r="F7" s="6">
        <v>5100</v>
      </c>
      <c r="G7" s="6">
        <v>5100</v>
      </c>
    </row>
    <row r="8" spans="1:7" x14ac:dyDescent="0.25">
      <c r="A8" s="6" t="s">
        <v>40</v>
      </c>
      <c r="B8" s="6" t="s">
        <v>34</v>
      </c>
      <c r="C8" s="6" t="s">
        <v>39</v>
      </c>
      <c r="D8" s="6">
        <v>1</v>
      </c>
      <c r="E8" s="6">
        <v>4700</v>
      </c>
      <c r="F8" s="6">
        <v>4700</v>
      </c>
      <c r="G8" s="6">
        <v>4700</v>
      </c>
    </row>
    <row r="9" spans="1:7" x14ac:dyDescent="0.25">
      <c r="A9" s="6" t="s">
        <v>36</v>
      </c>
      <c r="B9" s="6" t="s">
        <v>34</v>
      </c>
      <c r="C9" s="6" t="s">
        <v>35</v>
      </c>
      <c r="D9" s="6">
        <v>1</v>
      </c>
      <c r="E9" s="6">
        <v>2600</v>
      </c>
      <c r="F9" s="6">
        <v>2600</v>
      </c>
      <c r="G9" s="6">
        <v>2600</v>
      </c>
    </row>
    <row r="26" spans="1:3" ht="20.100000000000001" customHeight="1" x14ac:dyDescent="0.25">
      <c r="A26" s="8" t="s">
        <v>69</v>
      </c>
      <c r="B26" s="6" t="s">
        <v>76</v>
      </c>
      <c r="C26" s="6" t="s">
        <v>78</v>
      </c>
    </row>
    <row r="27" spans="1:3" x14ac:dyDescent="0.25">
      <c r="A27" s="6" t="s">
        <v>36</v>
      </c>
      <c r="B27" s="9">
        <v>11100</v>
      </c>
      <c r="C27" s="9">
        <v>2716.665</v>
      </c>
    </row>
    <row r="28" spans="1:3" x14ac:dyDescent="0.25">
      <c r="A28" s="6" t="s">
        <v>35</v>
      </c>
      <c r="B28" s="9">
        <v>11100</v>
      </c>
      <c r="C28" s="9">
        <v>2716.665</v>
      </c>
    </row>
    <row r="29" spans="1:3" x14ac:dyDescent="0.25">
      <c r="A29" s="6" t="s">
        <v>33</v>
      </c>
      <c r="B29" s="9">
        <v>14700</v>
      </c>
      <c r="C29" s="9">
        <v>4150</v>
      </c>
    </row>
    <row r="30" spans="1:3" x14ac:dyDescent="0.25">
      <c r="A30" s="6" t="s">
        <v>35</v>
      </c>
      <c r="B30" s="9">
        <v>14700</v>
      </c>
      <c r="C30" s="9">
        <v>4150</v>
      </c>
    </row>
    <row r="31" spans="1:3" x14ac:dyDescent="0.25">
      <c r="A31" s="6" t="s">
        <v>38</v>
      </c>
      <c r="B31" s="9">
        <v>13600</v>
      </c>
      <c r="C31" s="9">
        <v>3400</v>
      </c>
    </row>
    <row r="32" spans="1:3" x14ac:dyDescent="0.25">
      <c r="A32" s="6" t="s">
        <v>39</v>
      </c>
      <c r="B32" s="9">
        <v>13600</v>
      </c>
      <c r="C32" s="9">
        <v>3400</v>
      </c>
    </row>
    <row r="33" spans="1:3" x14ac:dyDescent="0.25">
      <c r="A33" s="6" t="s">
        <v>40</v>
      </c>
      <c r="B33" s="9">
        <v>12300</v>
      </c>
      <c r="C33" s="9">
        <v>4250</v>
      </c>
    </row>
    <row r="34" spans="1:3" x14ac:dyDescent="0.25">
      <c r="A34" s="6" t="s">
        <v>39</v>
      </c>
      <c r="B34" s="9">
        <v>12300</v>
      </c>
      <c r="C34" s="9">
        <v>4250</v>
      </c>
    </row>
    <row r="35" spans="1:3" x14ac:dyDescent="0.25">
      <c r="A35" s="6" t="s">
        <v>70</v>
      </c>
      <c r="B35" s="9">
        <v>51700</v>
      </c>
      <c r="C35" s="9">
        <v>3629.1662500000002</v>
      </c>
    </row>
  </sheetData>
  <conditionalFormatting pivot="1" sqref="B34 B34 B33 B32 B31 B30 B29 B28 B27 B27">
    <cfRule type="colorScale" priority="1">
      <colorScale>
        <cfvo type="min"/>
        <cfvo type="max"/>
        <color theme="0"/>
        <color rgb="FF002060"/>
      </colorScale>
    </cfRule>
  </conditionalFormatting>
  <pageMargins left="0.7" right="0.7" top="0.75" bottom="0.75" header="0.3" footer="0.3"/>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
  <sheetViews>
    <sheetView workbookViewId="0">
      <selection sqref="A1:G10"/>
    </sheetView>
  </sheetViews>
  <sheetFormatPr defaultRowHeight="15" x14ac:dyDescent="0.25"/>
  <cols>
    <col min="1" max="7" width="20.7109375" customWidth="1"/>
  </cols>
  <sheetData>
    <row r="1" spans="1:7" ht="20.100000000000001" customHeight="1" x14ac:dyDescent="0.25">
      <c r="A1" s="6" t="s">
        <v>10</v>
      </c>
      <c r="B1" s="6" t="s">
        <v>0</v>
      </c>
      <c r="C1" s="6" t="s">
        <v>41</v>
      </c>
      <c r="D1" s="6" t="s">
        <v>42</v>
      </c>
      <c r="E1" s="6" t="s">
        <v>43</v>
      </c>
      <c r="F1" s="6" t="s">
        <v>44</v>
      </c>
      <c r="G1" s="6" t="s">
        <v>45</v>
      </c>
    </row>
    <row r="2" spans="1:7" ht="20.100000000000001" customHeight="1" x14ac:dyDescent="0.25">
      <c r="A2" s="6" t="s">
        <v>26</v>
      </c>
      <c r="B2" s="6" t="s">
        <v>7</v>
      </c>
      <c r="C2" s="6">
        <v>50000</v>
      </c>
      <c r="D2" s="6">
        <v>5470</v>
      </c>
      <c r="E2" s="6">
        <v>44530</v>
      </c>
      <c r="F2" s="6">
        <v>10.94</v>
      </c>
      <c r="G2" s="6" t="s">
        <v>46</v>
      </c>
    </row>
    <row r="3" spans="1:7" ht="20.100000000000001" customHeight="1" x14ac:dyDescent="0.25">
      <c r="A3" s="6" t="s">
        <v>21</v>
      </c>
      <c r="B3" s="6" t="s">
        <v>8</v>
      </c>
      <c r="C3" s="6">
        <v>25000</v>
      </c>
      <c r="D3" s="6">
        <v>1650</v>
      </c>
      <c r="E3" s="6">
        <v>23350</v>
      </c>
      <c r="F3" s="6">
        <v>6.6</v>
      </c>
      <c r="G3" s="6" t="s">
        <v>46</v>
      </c>
    </row>
    <row r="4" spans="1:7" ht="20.100000000000001" customHeight="1" x14ac:dyDescent="0.25">
      <c r="A4" s="6" t="s">
        <v>25</v>
      </c>
      <c r="B4" s="6" t="s">
        <v>7</v>
      </c>
      <c r="C4" s="6">
        <v>30000</v>
      </c>
      <c r="D4" s="6">
        <v>1860</v>
      </c>
      <c r="E4" s="6">
        <v>28140</v>
      </c>
      <c r="F4" s="6">
        <v>6.2</v>
      </c>
      <c r="G4" s="6" t="s">
        <v>46</v>
      </c>
    </row>
    <row r="5" spans="1:7" ht="20.100000000000001" customHeight="1" x14ac:dyDescent="0.25">
      <c r="A5" s="6" t="s">
        <v>23</v>
      </c>
      <c r="B5" s="6" t="s">
        <v>8</v>
      </c>
      <c r="C5" s="6">
        <v>35000</v>
      </c>
      <c r="D5" s="6">
        <v>2150</v>
      </c>
      <c r="E5" s="6">
        <v>32850</v>
      </c>
      <c r="F5" s="6">
        <v>6.14</v>
      </c>
      <c r="G5" s="6" t="s">
        <v>46</v>
      </c>
    </row>
    <row r="6" spans="1:7" ht="20.100000000000001" customHeight="1" x14ac:dyDescent="0.25">
      <c r="A6" s="6" t="s">
        <v>22</v>
      </c>
      <c r="B6" s="6" t="s">
        <v>7</v>
      </c>
      <c r="C6" s="6">
        <v>20000</v>
      </c>
      <c r="D6" s="6">
        <v>1200</v>
      </c>
      <c r="E6" s="6">
        <v>18800</v>
      </c>
      <c r="F6" s="6">
        <v>6</v>
      </c>
      <c r="G6" s="6" t="s">
        <v>46</v>
      </c>
    </row>
    <row r="7" spans="1:7" ht="20.100000000000001" customHeight="1" x14ac:dyDescent="0.25">
      <c r="A7" s="6" t="s">
        <v>19</v>
      </c>
      <c r="B7" s="6" t="s">
        <v>9</v>
      </c>
      <c r="C7" s="6">
        <v>5000</v>
      </c>
      <c r="D7" s="6">
        <v>294</v>
      </c>
      <c r="E7" s="6">
        <v>4706</v>
      </c>
      <c r="F7" s="6">
        <v>5.88</v>
      </c>
      <c r="G7" s="6" t="s">
        <v>46</v>
      </c>
    </row>
    <row r="8" spans="1:7" ht="20.100000000000001" customHeight="1" x14ac:dyDescent="0.25">
      <c r="A8" s="6" t="s">
        <v>20</v>
      </c>
      <c r="B8" s="6" t="s">
        <v>8</v>
      </c>
      <c r="C8" s="6">
        <v>15000</v>
      </c>
      <c r="D8" s="6">
        <v>750</v>
      </c>
      <c r="E8" s="6">
        <v>14250</v>
      </c>
      <c r="F8" s="6">
        <v>5</v>
      </c>
      <c r="G8" s="6" t="s">
        <v>46</v>
      </c>
    </row>
    <row r="9" spans="1:7" ht="20.100000000000001" customHeight="1" x14ac:dyDescent="0.25">
      <c r="A9" s="6" t="s">
        <v>17</v>
      </c>
      <c r="B9" s="6" t="s">
        <v>9</v>
      </c>
      <c r="C9" s="6">
        <v>3000</v>
      </c>
      <c r="D9" s="6">
        <v>110</v>
      </c>
      <c r="E9" s="6">
        <v>2890</v>
      </c>
      <c r="F9" s="6">
        <v>3.67</v>
      </c>
      <c r="G9" s="6" t="s">
        <v>46</v>
      </c>
    </row>
    <row r="10" spans="1:7" ht="20.100000000000001" customHeight="1" x14ac:dyDescent="0.25">
      <c r="A10" s="6" t="s">
        <v>15</v>
      </c>
      <c r="B10" s="6" t="s">
        <v>9</v>
      </c>
      <c r="C10" s="6">
        <v>4000</v>
      </c>
      <c r="D10" s="6">
        <v>130</v>
      </c>
      <c r="E10" s="6">
        <v>3870</v>
      </c>
      <c r="F10" s="6">
        <v>3.25</v>
      </c>
      <c r="G10" s="6" t="s">
        <v>46</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
  <sheetViews>
    <sheetView workbookViewId="0">
      <selection activeCell="F18" sqref="F18"/>
    </sheetView>
  </sheetViews>
  <sheetFormatPr defaultRowHeight="15" x14ac:dyDescent="0.25"/>
  <cols>
    <col min="1" max="1" width="20.7109375" customWidth="1"/>
    <col min="2" max="3" width="16" customWidth="1"/>
    <col min="4" max="4" width="15.28515625" customWidth="1"/>
    <col min="5" max="5" width="19.42578125" customWidth="1"/>
    <col min="6" max="6" width="24.85546875" customWidth="1"/>
  </cols>
  <sheetData>
    <row r="1" spans="1:6" x14ac:dyDescent="0.25">
      <c r="A1" t="s">
        <v>47</v>
      </c>
      <c r="B1" t="s">
        <v>48</v>
      </c>
      <c r="C1" t="s">
        <v>49</v>
      </c>
      <c r="D1" t="s">
        <v>50</v>
      </c>
      <c r="E1" t="s">
        <v>51</v>
      </c>
      <c r="F1" t="s">
        <v>52</v>
      </c>
    </row>
    <row r="2" spans="1:6" ht="20.100000000000001" customHeight="1" x14ac:dyDescent="0.25">
      <c r="A2" s="6">
        <v>1</v>
      </c>
      <c r="B2" s="6">
        <v>0</v>
      </c>
      <c r="C2" s="6">
        <v>5470</v>
      </c>
      <c r="D2" s="6">
        <v>1460</v>
      </c>
      <c r="E2" s="6" t="s">
        <v>53</v>
      </c>
      <c r="F2" s="6" t="s">
        <v>53</v>
      </c>
    </row>
    <row r="3" spans="1:6" x14ac:dyDescent="0.25">
      <c r="A3" s="6">
        <v>2</v>
      </c>
      <c r="B3" s="6">
        <v>0</v>
      </c>
      <c r="C3" s="6">
        <v>1860</v>
      </c>
      <c r="D3" s="6">
        <v>465</v>
      </c>
      <c r="E3" s="6" t="s">
        <v>53</v>
      </c>
      <c r="F3" s="6" t="s">
        <v>53</v>
      </c>
    </row>
    <row r="4" spans="1:6" x14ac:dyDescent="0.25">
      <c r="A4" s="6">
        <v>3</v>
      </c>
      <c r="B4" s="6">
        <v>4</v>
      </c>
      <c r="C4" s="6">
        <v>1200</v>
      </c>
      <c r="D4" s="6">
        <v>320</v>
      </c>
      <c r="E4" s="6" t="s">
        <v>53</v>
      </c>
      <c r="F4" s="6" t="s">
        <v>53</v>
      </c>
    </row>
    <row r="5" spans="1:6" x14ac:dyDescent="0.25">
      <c r="A5" s="6">
        <v>4</v>
      </c>
      <c r="B5" s="6">
        <v>0</v>
      </c>
      <c r="C5" s="6">
        <v>1650</v>
      </c>
      <c r="D5" s="6">
        <v>630</v>
      </c>
      <c r="E5" s="6" t="s">
        <v>53</v>
      </c>
      <c r="F5" s="6" t="s">
        <v>53</v>
      </c>
    </row>
    <row r="6" spans="1:6" x14ac:dyDescent="0.25">
      <c r="A6" s="6">
        <v>5</v>
      </c>
      <c r="B6" s="6">
        <v>2</v>
      </c>
      <c r="C6" s="6">
        <v>2150</v>
      </c>
      <c r="D6" s="6">
        <v>590</v>
      </c>
      <c r="E6" s="6" t="s">
        <v>53</v>
      </c>
      <c r="F6" s="6" t="s">
        <v>53</v>
      </c>
    </row>
    <row r="7" spans="1:6" x14ac:dyDescent="0.25">
      <c r="A7" s="6">
        <v>6</v>
      </c>
      <c r="B7" s="6">
        <v>4</v>
      </c>
      <c r="C7" s="6">
        <v>750</v>
      </c>
      <c r="D7" s="6">
        <v>270</v>
      </c>
      <c r="E7" s="6" t="s">
        <v>53</v>
      </c>
      <c r="F7" s="6" t="s">
        <v>53</v>
      </c>
    </row>
    <row r="8" spans="1:6" x14ac:dyDescent="0.25">
      <c r="A8" s="6">
        <v>7</v>
      </c>
      <c r="B8" s="6">
        <v>0</v>
      </c>
      <c r="C8" s="6">
        <v>294</v>
      </c>
      <c r="D8" s="6">
        <v>392</v>
      </c>
      <c r="E8" s="6" t="s">
        <v>53</v>
      </c>
      <c r="F8" s="6" t="s">
        <v>53</v>
      </c>
    </row>
    <row r="9" spans="1:6" x14ac:dyDescent="0.25">
      <c r="A9" s="6">
        <v>8</v>
      </c>
      <c r="B9" s="6">
        <v>4</v>
      </c>
      <c r="C9" s="6">
        <v>110</v>
      </c>
      <c r="D9" s="6">
        <v>240</v>
      </c>
      <c r="E9" s="6" t="s">
        <v>53</v>
      </c>
      <c r="F9" s="6" t="s">
        <v>53</v>
      </c>
    </row>
    <row r="10" spans="1:6" x14ac:dyDescent="0.25">
      <c r="A10" s="6">
        <v>9</v>
      </c>
      <c r="B10" s="6">
        <v>8</v>
      </c>
      <c r="C10" s="6">
        <v>130</v>
      </c>
      <c r="D10" s="6">
        <v>180</v>
      </c>
      <c r="E10" s="6" t="s">
        <v>53</v>
      </c>
      <c r="F10" s="6" t="s">
        <v>53</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
  <sheetViews>
    <sheetView workbookViewId="0">
      <selection activeCell="E12" sqref="E12"/>
    </sheetView>
  </sheetViews>
  <sheetFormatPr defaultRowHeight="18.75" x14ac:dyDescent="0.3"/>
  <cols>
    <col min="1" max="2" width="20.7109375" style="1" customWidth="1"/>
    <col min="3" max="3" width="22.7109375" style="1" customWidth="1"/>
    <col min="4" max="6" width="20.7109375" style="1" customWidth="1"/>
    <col min="7" max="16384" width="9.140625" style="1"/>
  </cols>
  <sheetData>
    <row r="1" spans="1:4" ht="26.25" x14ac:dyDescent="0.4">
      <c r="A1" s="17" t="s">
        <v>54</v>
      </c>
    </row>
    <row r="3" spans="1:4" ht="28.5" x14ac:dyDescent="0.3">
      <c r="A3" s="15" t="s">
        <v>55</v>
      </c>
      <c r="B3" s="16" t="s">
        <v>56</v>
      </c>
      <c r="C3" s="16" t="s">
        <v>57</v>
      </c>
      <c r="D3" s="16" t="s">
        <v>58</v>
      </c>
    </row>
    <row r="4" spans="1:4" ht="20.100000000000001" customHeight="1" x14ac:dyDescent="0.3">
      <c r="A4" s="10" t="s">
        <v>59</v>
      </c>
      <c r="B4" s="14">
        <f>SUM(tbl_channel[total_spend])</f>
        <v>13614</v>
      </c>
      <c r="C4" s="11">
        <v>187000</v>
      </c>
      <c r="D4" s="2" t="s">
        <v>68</v>
      </c>
    </row>
    <row r="5" spans="1:4" ht="20.100000000000001" customHeight="1" x14ac:dyDescent="0.3">
      <c r="A5" s="10" t="s">
        <v>60</v>
      </c>
      <c r="B5" s="12">
        <f>SUM(tbl_roas[total_revenue])</f>
        <v>94100</v>
      </c>
      <c r="C5" s="2" t="s">
        <v>68</v>
      </c>
      <c r="D5" s="2" t="s">
        <v>68</v>
      </c>
    </row>
    <row r="6" spans="1:4" ht="20.100000000000001" customHeight="1" x14ac:dyDescent="0.3">
      <c r="A6" s="10" t="s">
        <v>61</v>
      </c>
      <c r="B6" s="12">
        <f>ROUND(B5/B4, 2)</f>
        <v>6.91</v>
      </c>
      <c r="C6" s="2" t="s">
        <v>67</v>
      </c>
      <c r="D6" s="2" t="str">
        <f>IF(B6&gt;=3,"✅ Healthy",IF(B6&gt;=2,"⚠️ Monitor","🔴 Poor"))</f>
        <v>✅ Healthy</v>
      </c>
    </row>
    <row r="7" spans="1:4" ht="20.100000000000001" customHeight="1" x14ac:dyDescent="0.3">
      <c r="A7" s="10" t="s">
        <v>62</v>
      </c>
      <c r="B7" s="12">
        <f>ROUND(SUM(tbl_channel[total_clicks])*100/SUM(tbl_channel[total_impressions]),2)</f>
        <v>1.39</v>
      </c>
      <c r="C7" s="3">
        <v>0.02</v>
      </c>
      <c r="D7" s="2" t="str">
        <f>IF(B7&gt;=2,"✅ Healthy",IF(B7&gt;=1,"⚠️ Monitor","🔴 Poor"))</f>
        <v>⚠️ Monitor</v>
      </c>
    </row>
    <row r="8" spans="1:4" ht="20.100000000000001" customHeight="1" x14ac:dyDescent="0.3">
      <c r="A8" s="10" t="s">
        <v>63</v>
      </c>
      <c r="B8" s="12">
        <f>ROUND(SUM(tbl_channel[total_spend])/SUM(tbl_channel[total_clicks]),2)</f>
        <v>2.99</v>
      </c>
      <c r="C8" s="4">
        <v>15</v>
      </c>
      <c r="D8" s="2" t="str">
        <f>IF(B8&lt;=15,"✅ Healthy",IF(B8&lt;=25,"⚠️ Monitor","🔴 Expensive"))</f>
        <v>✅ Healthy</v>
      </c>
    </row>
    <row r="9" spans="1:4" ht="20.100000000000001" customHeight="1" x14ac:dyDescent="0.3">
      <c r="A9" s="10" t="s">
        <v>64</v>
      </c>
      <c r="B9" s="12">
        <f>SUM(tbl_roas[total_conversions])</f>
        <v>27</v>
      </c>
      <c r="C9" s="2" t="s">
        <v>68</v>
      </c>
      <c r="D9" s="2" t="s">
        <v>68</v>
      </c>
    </row>
    <row r="10" spans="1:4" ht="20.100000000000001" customHeight="1" x14ac:dyDescent="0.3">
      <c r="A10" s="10" t="s">
        <v>65</v>
      </c>
      <c r="B10" s="12">
        <f>B4/B9</f>
        <v>504.22222222222223</v>
      </c>
      <c r="C10" s="4">
        <v>500</v>
      </c>
      <c r="D10" s="2" t="str">
        <f>IF(B10&lt;=500,"✅ Healthy",IF(B10&lt;=800,"⚠️ Monitor","🔴 Expensive"))</f>
        <v>⚠️ Monitor</v>
      </c>
    </row>
    <row r="11" spans="1:4" ht="20.100000000000001" customHeight="1" x14ac:dyDescent="0.3">
      <c r="A11" s="13" t="s">
        <v>66</v>
      </c>
      <c r="B11" s="12">
        <f>ROUND(SUM(tbl_budget[actual_spend])*100/SUM(tbl_budget[total_budget]), 1)</f>
        <v>7.3</v>
      </c>
      <c r="C11" s="3">
        <v>0.85</v>
      </c>
      <c r="D11" s="2" t="str">
        <f>IF(B11&lt;=85,"✅ On Track",IF(B11&lt;=100,"⚠️ Near Limit","🔴 Overspent"))</f>
        <v>✅ On Track</v>
      </c>
    </row>
    <row r="12" spans="1:4" ht="20.100000000000001" customHeight="1" x14ac:dyDescent="0.3"/>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q1_channel</vt:lpstr>
      <vt:lpstr>query2_campaign_roas</vt:lpstr>
      <vt:lpstr>query3_channel_cpa</vt:lpstr>
      <vt:lpstr>query4_audience_segments</vt:lpstr>
      <vt:lpstr>query5_budget_tracker</vt:lpstr>
      <vt:lpstr>query6_weekly_trends</vt:lpstr>
      <vt:lpstr>KPI_Summary</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Sunny Dhingra</dc:creator>
  <cp:lastModifiedBy>Sunny Dhingra</cp:lastModifiedBy>
  <dcterms:created xsi:type="dcterms:W3CDTF">2026-03-20T19:52:45Z</dcterms:created>
  <dcterms:modified xsi:type="dcterms:W3CDTF">2026-03-22T20:21:19Z</dcterms:modified>
</cp:coreProperties>
</file>